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🏠 Home" sheetId="1" state="visible" r:id="rId1"/>
    <sheet xmlns:r="http://schemas.openxmlformats.org/officeDocument/2006/relationships" name="📅 Daily" sheetId="2" state="visible" r:id="rId2"/>
    <sheet xmlns:r="http://schemas.openxmlformats.org/officeDocument/2006/relationships" name="📊 Sales Forecast" sheetId="3" state="visible" r:id="rId3"/>
    <sheet xmlns:r="http://schemas.openxmlformats.org/officeDocument/2006/relationships" name="🥤 Menu" sheetId="4" state="visible" r:id="rId4"/>
    <sheet xmlns:r="http://schemas.openxmlformats.org/officeDocument/2006/relationships" name="🍎 Cold Press Matrix" sheetId="5" state="visible" r:id="rId5"/>
    <sheet xmlns:r="http://schemas.openxmlformats.org/officeDocument/2006/relationships" name="🧾 Ingredient List" sheetId="6" state="visible" r:id="rId6"/>
    <sheet xmlns:r="http://schemas.openxmlformats.org/officeDocument/2006/relationships" name="✅ This Week" sheetId="7" state="visible" r:id="rId7"/>
    <sheet xmlns:r="http://schemas.openxmlformats.org/officeDocument/2006/relationships" name="👥 Team" sheetId="8" state="visible" r:id="rId8"/>
    <sheet xmlns:r="http://schemas.openxmlformats.org/officeDocument/2006/relationships" name="🛒 Supplier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&quot; ฿&quot;"/>
    <numFmt numFmtId="165" formatCode="0.0%"/>
    <numFmt numFmtId="166" formatCode="0.0"/>
    <numFmt numFmtId="167" formatCode="#,##0.0"/>
  </numFmts>
  <fonts count="6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arabun"/>
      <charset val="1"/>
      <family val="0"/>
      <b val="1"/>
      <color rgb="FF6DBC74"/>
      <sz val="32"/>
    </font>
    <font>
      <name val="Sarabun"/>
      <charset val="1"/>
      <family val="0"/>
      <i val="1"/>
      <color rgb="FF286689"/>
      <sz val="14"/>
    </font>
    <font>
      <name val="Sarabun"/>
      <charset val="1"/>
      <family val="0"/>
      <color rgb="FF6B7280"/>
      <sz val="10"/>
    </font>
    <font>
      <name val="Sarabun"/>
      <charset val="1"/>
      <family val="0"/>
      <b val="1"/>
      <color rgb="FF286689"/>
      <sz val="14"/>
    </font>
    <font>
      <name val="Sarabun"/>
      <charset val="1"/>
      <family val="0"/>
      <b val="1"/>
      <color rgb="FF1F2A33"/>
      <sz val="11"/>
    </font>
    <font>
      <name val="Sarabun"/>
      <charset val="1"/>
      <family val="0"/>
      <b val="1"/>
      <color rgb="FFFF9C31"/>
      <sz val="12"/>
    </font>
    <font>
      <name val="Sarabun"/>
      <charset val="1"/>
      <family val="0"/>
      <color rgb="FF1F2A33"/>
      <sz val="10"/>
    </font>
    <font>
      <name val="Sarabun"/>
      <charset val="1"/>
      <family val="0"/>
      <b val="1"/>
      <color rgb="FFFF9C31"/>
      <sz val="14"/>
    </font>
    <font>
      <name val="Sarabun"/>
      <charset val="1"/>
      <family val="0"/>
      <b val="1"/>
      <sz val="11"/>
    </font>
    <font>
      <name val="Sarabun"/>
      <charset val="1"/>
      <family val="0"/>
      <b val="1"/>
      <color rgb="FF6DBC74"/>
      <sz val="12"/>
    </font>
    <font>
      <name val="Sarabun"/>
      <charset val="1"/>
      <family val="0"/>
      <b val="1"/>
      <color rgb="FF286689"/>
      <sz val="10"/>
    </font>
    <font>
      <name val="Sarabun"/>
      <charset val="1"/>
      <family val="0"/>
      <b val="1"/>
      <color rgb="FFFFFFFF"/>
      <sz val="11"/>
    </font>
    <font>
      <name val="Sarabun"/>
      <charset val="1"/>
      <family val="0"/>
      <b val="1"/>
      <color rgb="FF286689"/>
      <sz val="11"/>
    </font>
    <font>
      <name val="Sarabun"/>
      <charset val="1"/>
      <family val="0"/>
      <b val="1"/>
      <color rgb="FF6DBC74"/>
      <sz val="11"/>
    </font>
    <font>
      <name val="Sarabun"/>
      <charset val="1"/>
      <family val="0"/>
      <b val="1"/>
      <color rgb="FFFF9C31"/>
      <sz val="11"/>
    </font>
    <font>
      <name val="Sarabun"/>
      <charset val="1"/>
      <family val="0"/>
      <b val="1"/>
      <sz val="10"/>
    </font>
    <font>
      <name val="Sarabun"/>
      <charset val="1"/>
      <family val="0"/>
      <color rgb="FFFF9C31"/>
      <sz val="10"/>
    </font>
    <font>
      <name val="Sarabun"/>
      <charset val="1"/>
      <family val="0"/>
      <sz val="10"/>
    </font>
    <font>
      <name val="Sarabun"/>
      <charset val="1"/>
      <family val="0"/>
      <i val="1"/>
      <color rgb="FF6B7280"/>
      <sz val="10"/>
    </font>
    <font>
      <name val="Sarabun"/>
      <charset val="1"/>
      <family val="0"/>
      <b val="1"/>
      <color rgb="FF286689"/>
      <sz val="20"/>
    </font>
    <font>
      <name val="Sarabun"/>
      <charset val="1"/>
      <family val="0"/>
      <i val="1"/>
      <color rgb="FF6B7280"/>
      <sz val="11"/>
    </font>
    <font>
      <name val="Cambria"/>
      <charset val="1"/>
      <family val="0"/>
      <color rgb="FFFF9C31"/>
      <sz val="14"/>
    </font>
    <font>
      <name val="Sarabun"/>
      <charset val="1"/>
      <family val="0"/>
      <color rgb="FF1F2A33"/>
      <sz val="10.5"/>
    </font>
    <font>
      <name val="Cambria"/>
      <charset val="1"/>
      <family val="0"/>
      <sz val="14"/>
    </font>
    <font>
      <name val="Sarabun"/>
      <charset val="1"/>
      <family val="0"/>
      <b val="1"/>
      <sz val="10.5"/>
    </font>
    <font>
      <name val="Calibri"/>
      <b val="1"/>
      <color rgb="00FFFFFF"/>
      <sz val="16"/>
    </font>
    <font>
      <i val="1"/>
      <color rgb="00555555"/>
      <sz val="9"/>
    </font>
    <font>
      <name val="Calibri"/>
      <b val="1"/>
      <color rgb="00FFFFFF"/>
      <sz val="10"/>
    </font>
    <font>
      <name val="Calibri"/>
      <b val="1"/>
      <color rgb="00B7E4C7"/>
      <sz val="10"/>
    </font>
    <font>
      <name val="Calibri"/>
      <sz val="10"/>
    </font>
    <font>
      <b val="1"/>
      <color rgb="001B4332"/>
      <sz val="10"/>
    </font>
    <font>
      <name val="Calibri"/>
      <b val="1"/>
      <sz val="10"/>
    </font>
    <font>
      <b val="1"/>
      <color rgb="001565C0"/>
      <sz val="10"/>
    </font>
    <font>
      <b val="1"/>
      <color rgb="00FFFFFF"/>
      <sz val="10"/>
    </font>
    <font>
      <b val="1"/>
      <color rgb="00F4A261"/>
      <sz val="11"/>
    </font>
    <font>
      <i val="1"/>
      <color rgb="00333333"/>
      <sz val="9"/>
    </font>
    <font>
      <name val="Calibri"/>
      <b val="1"/>
      <color rgb="00FFFFFF"/>
      <sz val="14"/>
    </font>
    <font>
      <i val="1"/>
      <color rgb="00444444"/>
      <sz val="9"/>
    </font>
    <font>
      <name val="Calibri"/>
      <b val="1"/>
      <color rgb="00FFFFFF"/>
      <sz val="9"/>
    </font>
    <font>
      <name val="Calibri"/>
      <b val="1"/>
      <color rgb="001B4332"/>
      <sz val="9"/>
    </font>
    <font>
      <name val="Calibri"/>
      <color rgb="00000000"/>
      <sz val="9"/>
    </font>
    <font>
      <name val="Calibri"/>
      <b val="1"/>
      <color rgb="001B4332"/>
      <sz val="10"/>
    </font>
    <font>
      <name val="Calibri"/>
      <color rgb="00555555"/>
      <sz val="9"/>
    </font>
    <font>
      <name val="Calibri"/>
      <b val="1"/>
      <color rgb="002D6A4F"/>
      <sz val="10"/>
    </font>
    <font>
      <name val="Calibri"/>
      <color rgb="00777777"/>
      <sz val="8"/>
    </font>
    <font>
      <name val="Calibri"/>
      <b val="1"/>
      <color rgb="00F4A261"/>
      <sz val="11"/>
    </font>
    <font>
      <name val="Calibri"/>
      <b val="1"/>
      <color rgb="00F4A261"/>
      <sz val="13"/>
    </font>
    <font>
      <name val="Calibri"/>
      <b val="1"/>
      <color rgb="00FFFFFF"/>
      <sz val="13"/>
    </font>
    <font>
      <name val="Calibri"/>
      <b val="1"/>
      <color rgb="002E7D32"/>
      <sz val="10"/>
    </font>
    <font>
      <name val="Calibri"/>
      <color rgb="00666666"/>
      <sz val="9"/>
    </font>
    <font>
      <name val="Calibri"/>
      <b val="1"/>
      <color rgb="0033691E"/>
      <sz val="10"/>
    </font>
    <font>
      <name val="Calibri"/>
      <b val="1"/>
      <color rgb="001565C0"/>
      <sz val="10"/>
    </font>
    <font>
      <name val="Calibri"/>
      <b val="1"/>
      <color rgb="00283593"/>
      <sz val="10"/>
    </font>
    <font>
      <name val="Calibri"/>
      <b val="1"/>
      <color rgb="00F57F17"/>
      <sz val="10"/>
    </font>
    <font>
      <name val="Calibri"/>
      <b val="1"/>
      <color rgb="00880E4F"/>
      <sz val="10"/>
    </font>
    <font>
      <name val="Calibri"/>
      <b val="1"/>
      <color rgb="00BF360C"/>
      <sz val="10"/>
    </font>
    <font>
      <name val="Calibri"/>
      <b val="1"/>
      <color rgb="004527A0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1B5E20"/>
      <sz val="9"/>
    </font>
    <font>
      <name val="Arial"/>
      <color rgb="00CCCCCC"/>
      <sz val="9"/>
    </font>
    <font>
      <name val="Arial"/>
      <i val="1"/>
      <color rgb="00757575"/>
      <sz val="8"/>
    </font>
  </fonts>
  <fills count="44">
    <fill>
      <patternFill/>
    </fill>
    <fill>
      <patternFill patternType="gray125"/>
    </fill>
    <fill>
      <patternFill patternType="solid">
        <fgColor rgb="FFFFFBD2"/>
        <bgColor rgb="FFFFF3C4"/>
      </patternFill>
    </fill>
    <fill>
      <patternFill patternType="solid">
        <fgColor rgb="FF286689"/>
        <bgColor rgb="FF008080"/>
      </patternFill>
    </fill>
    <fill>
      <patternFill patternType="solid">
        <fgColor rgb="FFECF7EE"/>
        <bgColor rgb="FFEFF2F5"/>
      </patternFill>
    </fill>
    <fill>
      <patternFill patternType="solid">
        <fgColor rgb="FFFFEFD8"/>
        <bgColor rgb="FFFFF3C4"/>
      </patternFill>
    </fill>
    <fill>
      <patternFill patternType="solid">
        <fgColor rgb="FFCBE5AC"/>
        <bgColor rgb="FFC7EFCF"/>
      </patternFill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B7E4C7"/>
      </patternFill>
    </fill>
    <fill>
      <patternFill patternType="solid">
        <fgColor rgb="0052B788"/>
      </patternFill>
    </fill>
    <fill>
      <patternFill patternType="solid">
        <fgColor rgb="004A4A4A"/>
      </patternFill>
    </fill>
    <fill>
      <patternFill patternType="solid">
        <fgColor rgb="00F5F5F5"/>
      </patternFill>
    </fill>
    <fill>
      <patternFill patternType="solid">
        <fgColor rgb="00CAD7CB"/>
      </patternFill>
    </fill>
    <fill>
      <patternFill patternType="solid">
        <fgColor rgb="00E8F5E9"/>
      </patternFill>
    </fill>
    <fill>
      <patternFill patternType="solid">
        <fgColor rgb="00DDCBC9"/>
      </patternFill>
    </fill>
    <fill>
      <patternFill patternType="solid">
        <fgColor rgb="00FBE9E7"/>
      </patternFill>
    </fill>
    <fill>
      <patternFill patternType="solid">
        <fgColor rgb="00D3DACB"/>
      </patternFill>
    </fill>
    <fill>
      <patternFill patternType="solid">
        <fgColor rgb="00F1F8E9"/>
      </patternFill>
    </fill>
    <fill>
      <patternFill patternType="solid">
        <fgColor rgb="00C5D4DF"/>
      </patternFill>
    </fill>
    <fill>
      <patternFill patternType="solid">
        <fgColor rgb="00E3F2FD"/>
      </patternFill>
    </fill>
    <fill>
      <patternFill patternType="solid">
        <fgColor rgb="00CACCD8"/>
      </patternFill>
    </fill>
    <fill>
      <patternFill patternType="solid">
        <fgColor rgb="00E8EAF6"/>
      </patternFill>
    </fill>
    <fill>
      <patternFill patternType="solid">
        <fgColor rgb="00E1DBA6"/>
      </patternFill>
    </fill>
    <fill>
      <patternFill patternType="solid">
        <fgColor rgb="00FFF9C4"/>
      </patternFill>
    </fill>
    <fill>
      <patternFill patternType="solid">
        <fgColor rgb="00DEC6CE"/>
      </patternFill>
    </fill>
    <fill>
      <patternFill patternType="solid">
        <fgColor rgb="00FCE4EC"/>
      </patternFill>
    </fill>
    <fill>
      <patternFill patternType="solid">
        <fgColor rgb="00D0D0D0"/>
      </patternFill>
    </fill>
    <fill>
      <patternFill patternType="solid">
        <fgColor rgb="00CFC9D8"/>
      </patternFill>
    </fill>
    <fill>
      <patternFill patternType="solid">
        <fgColor rgb="00EDE7F6"/>
      </patternFill>
    </fill>
    <fill>
      <patternFill patternType="solid">
        <fgColor rgb="000D3349"/>
      </patternFill>
    </fill>
    <fill>
      <patternFill patternType="solid">
        <fgColor rgb="00EEF6FB"/>
      </patternFill>
    </fill>
    <fill>
      <patternFill patternType="solid">
        <fgColor rgb="002E7D32"/>
      </patternFill>
    </fill>
    <fill>
      <patternFill patternType="solid">
        <fgColor rgb="0033691E"/>
      </patternFill>
    </fill>
    <fill>
      <patternFill patternType="solid">
        <fgColor rgb="001565C0"/>
      </patternFill>
    </fill>
    <fill>
      <patternFill patternType="solid">
        <fgColor rgb="00283593"/>
      </patternFill>
    </fill>
    <fill>
      <patternFill patternType="solid">
        <fgColor rgb="00F57F17"/>
      </patternFill>
    </fill>
    <fill>
      <patternFill patternType="solid">
        <fgColor rgb="00880E4F"/>
      </patternFill>
    </fill>
    <fill>
      <patternFill patternType="solid">
        <fgColor rgb="00BF360C"/>
      </patternFill>
    </fill>
    <fill>
      <patternFill patternType="solid">
        <fgColor rgb="004527A0"/>
      </patternFill>
    </fill>
    <fill>
      <patternFill patternType="solid">
        <fgColor rgb="00D8F3DC"/>
      </patternFill>
    </fill>
    <fill>
      <patternFill patternType="solid">
        <fgColor rgb="001B5E20"/>
      </patternFill>
    </fill>
  </fills>
  <borders count="10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 style="thin">
        <color rgb="00CCCCCC"/>
      </right>
      <top/>
      <bottom style="thin">
        <color rgb="00CCCCCC"/>
      </bottom>
      <diagonal/>
    </border>
    <border>
      <left/>
      <right style="thin">
        <color rgb="00CCCCCC"/>
      </right>
      <top/>
      <bottom/>
      <diagonal/>
    </border>
    <border>
      <left/>
      <right/>
      <top/>
      <bottom style="thin">
        <color rgb="00CCCCCC"/>
      </bottom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left" vertical="center"/>
    </xf>
    <xf numFmtId="3" fontId="11" fillId="0" borderId="1" applyAlignment="1" pivotButton="0" quotePrefix="0" xfId="0">
      <alignment horizontal="left" vertical="center"/>
    </xf>
    <xf numFmtId="164" fontId="11" fillId="0" borderId="1" applyAlignment="1" pivotButton="0" quotePrefix="0" xfId="0">
      <alignment horizontal="left" vertical="center"/>
    </xf>
    <xf numFmtId="165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5" fillId="3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wrapText="1"/>
    </xf>
    <xf numFmtId="3" fontId="10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3" fontId="10" fillId="4" borderId="1" applyAlignment="1" pivotButton="0" quotePrefix="0" xfId="0">
      <alignment horizontal="left" vertical="center" wrapText="1"/>
    </xf>
    <xf numFmtId="165" fontId="10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3" fontId="10" fillId="5" borderId="1" applyAlignment="1" pivotButton="0" quotePrefix="0" xfId="0">
      <alignment horizontal="left" vertical="center" wrapText="1"/>
    </xf>
    <xf numFmtId="165" fontId="10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general" vertical="bottom"/>
    </xf>
    <xf numFmtId="0" fontId="18" fillId="6" borderId="1" applyAlignment="1" pivotButton="0" quotePrefix="0" xfId="0">
      <alignment horizontal="general" vertical="bottom"/>
    </xf>
    <xf numFmtId="3" fontId="18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left" vertical="center" wrapText="1"/>
    </xf>
    <xf numFmtId="3" fontId="10" fillId="2" borderId="1" applyAlignment="1" pivotButton="0" quotePrefix="0" xfId="0">
      <alignment horizontal="left" vertical="center" wrapText="1"/>
    </xf>
    <xf numFmtId="165" fontId="10" fillId="2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general" vertical="bottom"/>
    </xf>
    <xf numFmtId="3" fontId="2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general" vertical="bottom"/>
    </xf>
    <xf numFmtId="3" fontId="21" fillId="0" borderId="1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bottom"/>
    </xf>
    <xf numFmtId="0" fontId="28" fillId="2" borderId="1" applyAlignment="1" pivotButton="0" quotePrefix="0" xfId="0">
      <alignment horizontal="general" vertical="bottom"/>
    </xf>
    <xf numFmtId="0" fontId="21" fillId="2" borderId="1" applyAlignment="1" pivotButton="0" quotePrefix="0" xfId="0">
      <alignment horizontal="general" vertical="bottom"/>
    </xf>
    <xf numFmtId="166" fontId="18" fillId="2" borderId="1" applyAlignment="1" pivotButton="0" quotePrefix="0" xfId="0">
      <alignment horizontal="general" vertical="bottom"/>
    </xf>
    <xf numFmtId="0" fontId="22" fillId="2" borderId="1" applyAlignment="1" pivotButton="0" quotePrefix="0" xfId="0">
      <alignment horizontal="general" vertical="bottom"/>
    </xf>
    <xf numFmtId="166" fontId="1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left" vertical="center"/>
    </xf>
    <xf numFmtId="3" fontId="11" fillId="0" borderId="1" applyAlignment="1" pivotButton="0" quotePrefix="0" xfId="0">
      <alignment horizontal="left" vertical="center"/>
    </xf>
    <xf numFmtId="164" fontId="11" fillId="0" borderId="1" applyAlignment="1" pivotButton="0" quotePrefix="0" xfId="0">
      <alignment horizontal="left" vertical="center"/>
    </xf>
    <xf numFmtId="165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5" fillId="3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wrapText="1"/>
    </xf>
    <xf numFmtId="3" fontId="10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3" fontId="10" fillId="4" borderId="1" applyAlignment="1" pivotButton="0" quotePrefix="0" xfId="0">
      <alignment horizontal="left" vertical="center" wrapText="1"/>
    </xf>
    <xf numFmtId="165" fontId="10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3" fontId="10" fillId="5" borderId="1" applyAlignment="1" pivotButton="0" quotePrefix="0" xfId="0">
      <alignment horizontal="left" vertical="center" wrapText="1"/>
    </xf>
    <xf numFmtId="165" fontId="10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general" vertical="bottom"/>
    </xf>
    <xf numFmtId="0" fontId="18" fillId="6" borderId="1" applyAlignment="1" pivotButton="0" quotePrefix="0" xfId="0">
      <alignment horizontal="general" vertical="bottom"/>
    </xf>
    <xf numFmtId="3" fontId="18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left" vertical="center" wrapText="1"/>
    </xf>
    <xf numFmtId="3" fontId="10" fillId="2" borderId="1" applyAlignment="1" pivotButton="0" quotePrefix="0" xfId="0">
      <alignment horizontal="left" vertical="center" wrapText="1"/>
    </xf>
    <xf numFmtId="165" fontId="10" fillId="2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general" vertical="bottom"/>
    </xf>
    <xf numFmtId="3" fontId="2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general" vertical="bottom"/>
    </xf>
    <xf numFmtId="3" fontId="21" fillId="0" borderId="1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bottom"/>
    </xf>
    <xf numFmtId="0" fontId="28" fillId="2" borderId="1" applyAlignment="1" pivotButton="0" quotePrefix="0" xfId="0">
      <alignment horizontal="general" vertical="bottom"/>
    </xf>
    <xf numFmtId="0" fontId="21" fillId="2" borderId="1" applyAlignment="1" pivotButton="0" quotePrefix="0" xfId="0">
      <alignment horizontal="general" vertical="bottom"/>
    </xf>
    <xf numFmtId="166" fontId="18" fillId="2" borderId="1" applyAlignment="1" pivotButton="0" quotePrefix="0" xfId="0">
      <alignment horizontal="general" vertical="bottom"/>
    </xf>
    <xf numFmtId="0" fontId="22" fillId="2" borderId="1" applyAlignment="1" pivotButton="0" quotePrefix="0" xfId="0">
      <alignment horizontal="general" vertical="bottom"/>
    </xf>
    <xf numFmtId="166" fontId="18" fillId="0" borderId="1" applyAlignment="1" pivotButton="0" quotePrefix="0" xfId="0">
      <alignment horizontal="general" vertical="bottom"/>
    </xf>
    <xf numFmtId="0" fontId="29" fillId="7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8" borderId="2" applyAlignment="1" pivotButton="0" quotePrefix="0" xfId="0">
      <alignment horizontal="center" vertical="center" wrapText="1"/>
    </xf>
    <xf numFmtId="0" fontId="32" fillId="7" borderId="0" applyAlignment="1" pivotButton="0" quotePrefix="0" xfId="0">
      <alignment horizontal="left" vertical="center" indent="1"/>
    </xf>
    <xf numFmtId="0" fontId="33" fillId="11" borderId="2" applyAlignment="1" pivotButton="0" quotePrefix="0" xfId="0">
      <alignment horizontal="center" vertical="center"/>
    </xf>
    <xf numFmtId="3" fontId="33" fillId="11" borderId="2" applyAlignment="1" pivotButton="0" quotePrefix="0" xfId="0">
      <alignment horizontal="center" vertical="center"/>
    </xf>
    <xf numFmtId="3" fontId="34" fillId="11" borderId="2" applyAlignment="1" pivotButton="0" quotePrefix="0" xfId="0">
      <alignment horizontal="center" vertical="center"/>
    </xf>
    <xf numFmtId="3" fontId="36" fillId="11" borderId="2" applyAlignment="1" pivotButton="0" quotePrefix="0" xfId="0">
      <alignment horizontal="center" vertical="center"/>
    </xf>
    <xf numFmtId="0" fontId="33" fillId="11" borderId="2" applyAlignment="1" pivotButton="0" quotePrefix="0" xfId="0">
      <alignment horizontal="left" vertical="center" wrapText="1" indent="1"/>
    </xf>
    <xf numFmtId="0" fontId="33" fillId="10" borderId="2" applyAlignment="1" pivotButton="0" quotePrefix="0" xfId="0">
      <alignment horizontal="center" vertical="center"/>
    </xf>
    <xf numFmtId="3" fontId="33" fillId="10" borderId="2" applyAlignment="1" pivotButton="0" quotePrefix="0" xfId="0">
      <alignment horizontal="center" vertical="center"/>
    </xf>
    <xf numFmtId="3" fontId="34" fillId="10" borderId="2" applyAlignment="1" pivotButton="0" quotePrefix="0" xfId="0">
      <alignment horizontal="center" vertical="center"/>
    </xf>
    <xf numFmtId="3" fontId="36" fillId="10" borderId="2" applyAlignment="1" pivotButton="0" quotePrefix="0" xfId="0">
      <alignment horizontal="center" vertical="center"/>
    </xf>
    <xf numFmtId="0" fontId="33" fillId="10" borderId="2" applyAlignment="1" pivotButton="0" quotePrefix="0" xfId="0">
      <alignment horizontal="left" vertical="center" wrapText="1" indent="1"/>
    </xf>
    <xf numFmtId="0" fontId="37" fillId="12" borderId="0" applyAlignment="1" pivotButton="0" quotePrefix="0" xfId="0">
      <alignment horizontal="center" vertical="center"/>
    </xf>
    <xf numFmtId="3" fontId="37" fillId="12" borderId="2" applyAlignment="1" pivotButton="0" quotePrefix="0" xfId="0">
      <alignment horizontal="center" vertical="center"/>
    </xf>
    <xf numFmtId="0" fontId="37" fillId="12" borderId="2" applyAlignment="1" pivotButton="0" quotePrefix="0" xfId="0">
      <alignment horizontal="center" vertical="center"/>
    </xf>
    <xf numFmtId="0" fontId="32" fillId="8" borderId="0" applyAlignment="1" pivotButton="0" quotePrefix="0" xfId="0">
      <alignment horizontal="left" vertical="center" indent="1"/>
    </xf>
    <xf numFmtId="0" fontId="38" fillId="7" borderId="0" applyAlignment="1" pivotButton="0" quotePrefix="0" xfId="0">
      <alignment horizontal="center" vertical="center"/>
    </xf>
    <xf numFmtId="3" fontId="38" fillId="7" borderId="3" applyAlignment="1" pivotButton="0" quotePrefix="0" xfId="0">
      <alignment horizontal="center" vertical="center"/>
    </xf>
    <xf numFmtId="0" fontId="38" fillId="7" borderId="3" applyAlignment="1" pivotButton="0" quotePrefix="0" xfId="0">
      <alignment horizontal="center" vertical="center"/>
    </xf>
    <xf numFmtId="0" fontId="37" fillId="13" borderId="0" applyAlignment="1" pivotButton="0" quotePrefix="0" xfId="0">
      <alignment horizontal="left" vertical="center" indent="1"/>
    </xf>
    <xf numFmtId="0" fontId="39" fillId="14" borderId="0" applyAlignment="1" pivotButton="0" quotePrefix="0" xfId="0">
      <alignment horizontal="left" vertical="center" wrapText="1" indent="1"/>
    </xf>
    <xf numFmtId="0" fontId="37" fillId="12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40" fillId="7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2" fillId="8" borderId="2" applyAlignment="1" pivotButton="0" quotePrefix="0" xfId="0">
      <alignment horizontal="center" vertical="center" wrapText="1"/>
    </xf>
    <xf numFmtId="0" fontId="43" fillId="15" borderId="0" applyAlignment="1" pivotButton="0" quotePrefix="0" xfId="0">
      <alignment horizontal="left" vertical="center" indent="1"/>
    </xf>
    <xf numFmtId="0" fontId="44" fillId="16" borderId="2" applyAlignment="1" pivotButton="0" quotePrefix="0" xfId="0">
      <alignment horizontal="center" vertical="center"/>
    </xf>
    <xf numFmtId="0" fontId="45" fillId="16" borderId="2" applyAlignment="1" pivotButton="0" quotePrefix="0" xfId="0">
      <alignment horizontal="left" vertical="center" wrapText="1" indent="1"/>
    </xf>
    <xf numFmtId="0" fontId="46" fillId="16" borderId="2" applyAlignment="1" pivotButton="0" quotePrefix="0" xfId="0">
      <alignment horizontal="left" vertical="center"/>
    </xf>
    <xf numFmtId="167" fontId="44" fillId="16" borderId="2" applyAlignment="1" pivotButton="0" quotePrefix="0" xfId="0">
      <alignment horizontal="center" vertical="center"/>
    </xf>
    <xf numFmtId="167" fontId="47" fillId="16" borderId="2" applyAlignment="1" pivotButton="0" quotePrefix="0" xfId="0">
      <alignment horizontal="center" vertical="center"/>
    </xf>
    <xf numFmtId="0" fontId="44" fillId="16" borderId="2" applyAlignment="1" pivotButton="0" quotePrefix="0" xfId="0">
      <alignment horizontal="center" vertical="center" wrapText="1"/>
    </xf>
    <xf numFmtId="4" fontId="44" fillId="16" borderId="2" applyAlignment="1" pivotButton="0" quotePrefix="0" xfId="0">
      <alignment horizontal="center" vertical="center"/>
    </xf>
    <xf numFmtId="3" fontId="45" fillId="16" borderId="2" applyAlignment="1" pivotButton="0" quotePrefix="0" xfId="0">
      <alignment horizontal="center" vertical="center"/>
    </xf>
    <xf numFmtId="0" fontId="46" fillId="16" borderId="2" applyAlignment="1" pivotButton="0" quotePrefix="0" xfId="0">
      <alignment horizontal="left" vertical="center" wrapText="1" indent="1"/>
    </xf>
    <xf numFmtId="0" fontId="48" fillId="16" borderId="2" applyAlignment="1" pivotButton="0" quotePrefix="0" xfId="0">
      <alignment horizontal="left" vertical="center" wrapText="1" indent="1"/>
    </xf>
    <xf numFmtId="0" fontId="43" fillId="17" borderId="0" applyAlignment="1" pivotButton="0" quotePrefix="0" xfId="0">
      <alignment horizontal="left" vertical="center" indent="1"/>
    </xf>
    <xf numFmtId="0" fontId="44" fillId="18" borderId="2" applyAlignment="1" pivotButton="0" quotePrefix="0" xfId="0">
      <alignment horizontal="center" vertical="center"/>
    </xf>
    <xf numFmtId="0" fontId="45" fillId="18" borderId="2" applyAlignment="1" pivotButton="0" quotePrefix="0" xfId="0">
      <alignment horizontal="left" vertical="center" wrapText="1" indent="1"/>
    </xf>
    <xf numFmtId="0" fontId="46" fillId="18" borderId="2" applyAlignment="1" pivotButton="0" quotePrefix="0" xfId="0">
      <alignment horizontal="left" vertical="center"/>
    </xf>
    <xf numFmtId="167" fontId="44" fillId="18" borderId="2" applyAlignment="1" pivotButton="0" quotePrefix="0" xfId="0">
      <alignment horizontal="center" vertical="center"/>
    </xf>
    <xf numFmtId="167" fontId="47" fillId="18" borderId="2" applyAlignment="1" pivotButton="0" quotePrefix="0" xfId="0">
      <alignment horizontal="center" vertical="center"/>
    </xf>
    <xf numFmtId="0" fontId="44" fillId="18" borderId="2" applyAlignment="1" pivotButton="0" quotePrefix="0" xfId="0">
      <alignment horizontal="center" vertical="center" wrapText="1"/>
    </xf>
    <xf numFmtId="4" fontId="44" fillId="18" borderId="2" applyAlignment="1" pivotButton="0" quotePrefix="0" xfId="0">
      <alignment horizontal="center" vertical="center"/>
    </xf>
    <xf numFmtId="3" fontId="45" fillId="18" borderId="2" applyAlignment="1" pivotButton="0" quotePrefix="0" xfId="0">
      <alignment horizontal="center" vertical="center"/>
    </xf>
    <xf numFmtId="0" fontId="46" fillId="18" borderId="2" applyAlignment="1" pivotButton="0" quotePrefix="0" xfId="0">
      <alignment horizontal="left" vertical="center" wrapText="1" indent="1"/>
    </xf>
    <xf numFmtId="0" fontId="48" fillId="18" borderId="2" applyAlignment="1" pivotButton="0" quotePrefix="0" xfId="0">
      <alignment horizontal="left" vertical="center" wrapText="1" indent="1"/>
    </xf>
    <xf numFmtId="0" fontId="43" fillId="19" borderId="0" applyAlignment="1" pivotButton="0" quotePrefix="0" xfId="0">
      <alignment horizontal="left" vertical="center" indent="1"/>
    </xf>
    <xf numFmtId="0" fontId="44" fillId="20" borderId="2" applyAlignment="1" pivotButton="0" quotePrefix="0" xfId="0">
      <alignment horizontal="center" vertical="center"/>
    </xf>
    <xf numFmtId="0" fontId="45" fillId="20" borderId="2" applyAlignment="1" pivotButton="0" quotePrefix="0" xfId="0">
      <alignment horizontal="left" vertical="center" wrapText="1" indent="1"/>
    </xf>
    <xf numFmtId="0" fontId="46" fillId="20" borderId="2" applyAlignment="1" pivotButton="0" quotePrefix="0" xfId="0">
      <alignment horizontal="left" vertical="center"/>
    </xf>
    <xf numFmtId="167" fontId="44" fillId="20" borderId="2" applyAlignment="1" pivotButton="0" quotePrefix="0" xfId="0">
      <alignment horizontal="center" vertical="center"/>
    </xf>
    <xf numFmtId="167" fontId="47" fillId="20" borderId="2" applyAlignment="1" pivotButton="0" quotePrefix="0" xfId="0">
      <alignment horizontal="center" vertical="center"/>
    </xf>
    <xf numFmtId="0" fontId="44" fillId="20" borderId="2" applyAlignment="1" pivotButton="0" quotePrefix="0" xfId="0">
      <alignment horizontal="center" vertical="center" wrapText="1"/>
    </xf>
    <xf numFmtId="4" fontId="44" fillId="20" borderId="2" applyAlignment="1" pivotButton="0" quotePrefix="0" xfId="0">
      <alignment horizontal="center" vertical="center"/>
    </xf>
    <xf numFmtId="3" fontId="45" fillId="20" borderId="2" applyAlignment="1" pivotButton="0" quotePrefix="0" xfId="0">
      <alignment horizontal="center" vertical="center"/>
    </xf>
    <xf numFmtId="0" fontId="46" fillId="20" borderId="2" applyAlignment="1" pivotButton="0" quotePrefix="0" xfId="0">
      <alignment horizontal="left" vertical="center" wrapText="1" indent="1"/>
    </xf>
    <xf numFmtId="0" fontId="48" fillId="20" borderId="2" applyAlignment="1" pivotButton="0" quotePrefix="0" xfId="0">
      <alignment horizontal="left" vertical="center" wrapText="1" indent="1"/>
    </xf>
    <xf numFmtId="0" fontId="43" fillId="21" borderId="0" applyAlignment="1" pivotButton="0" quotePrefix="0" xfId="0">
      <alignment horizontal="left" vertical="center" indent="1"/>
    </xf>
    <xf numFmtId="0" fontId="44" fillId="22" borderId="2" applyAlignment="1" pivotButton="0" quotePrefix="0" xfId="0">
      <alignment horizontal="center" vertical="center"/>
    </xf>
    <xf numFmtId="0" fontId="45" fillId="22" borderId="2" applyAlignment="1" pivotButton="0" quotePrefix="0" xfId="0">
      <alignment horizontal="left" vertical="center" wrapText="1" indent="1"/>
    </xf>
    <xf numFmtId="0" fontId="46" fillId="22" borderId="2" applyAlignment="1" pivotButton="0" quotePrefix="0" xfId="0">
      <alignment horizontal="left" vertical="center"/>
    </xf>
    <xf numFmtId="167" fontId="44" fillId="22" borderId="2" applyAlignment="1" pivotButton="0" quotePrefix="0" xfId="0">
      <alignment horizontal="center" vertical="center"/>
    </xf>
    <xf numFmtId="167" fontId="47" fillId="22" borderId="2" applyAlignment="1" pivotButton="0" quotePrefix="0" xfId="0">
      <alignment horizontal="center" vertical="center"/>
    </xf>
    <xf numFmtId="0" fontId="44" fillId="22" borderId="2" applyAlignment="1" pivotButton="0" quotePrefix="0" xfId="0">
      <alignment horizontal="center" vertical="center" wrapText="1"/>
    </xf>
    <xf numFmtId="4" fontId="44" fillId="22" borderId="2" applyAlignment="1" pivotButton="0" quotePrefix="0" xfId="0">
      <alignment horizontal="center" vertical="center"/>
    </xf>
    <xf numFmtId="3" fontId="45" fillId="22" borderId="2" applyAlignment="1" pivotButton="0" quotePrefix="0" xfId="0">
      <alignment horizontal="center" vertical="center"/>
    </xf>
    <xf numFmtId="0" fontId="46" fillId="22" borderId="2" applyAlignment="1" pivotButton="0" quotePrefix="0" xfId="0">
      <alignment horizontal="left" vertical="center" wrapText="1" indent="1"/>
    </xf>
    <xf numFmtId="0" fontId="48" fillId="22" borderId="2" applyAlignment="1" pivotButton="0" quotePrefix="0" xfId="0">
      <alignment horizontal="left" vertical="center" wrapText="1" indent="1"/>
    </xf>
    <xf numFmtId="0" fontId="43" fillId="23" borderId="0" applyAlignment="1" pivotButton="0" quotePrefix="0" xfId="0">
      <alignment horizontal="left" vertical="center" indent="1"/>
    </xf>
    <xf numFmtId="0" fontId="44" fillId="24" borderId="2" applyAlignment="1" pivotButton="0" quotePrefix="0" xfId="0">
      <alignment horizontal="center" vertical="center"/>
    </xf>
    <xf numFmtId="0" fontId="45" fillId="24" borderId="2" applyAlignment="1" pivotButton="0" quotePrefix="0" xfId="0">
      <alignment horizontal="left" vertical="center" wrapText="1" indent="1"/>
    </xf>
    <xf numFmtId="0" fontId="46" fillId="24" borderId="2" applyAlignment="1" pivotButton="0" quotePrefix="0" xfId="0">
      <alignment horizontal="left" vertical="center"/>
    </xf>
    <xf numFmtId="167" fontId="44" fillId="24" borderId="2" applyAlignment="1" pivotButton="0" quotePrefix="0" xfId="0">
      <alignment horizontal="center" vertical="center"/>
    </xf>
    <xf numFmtId="167" fontId="47" fillId="24" borderId="2" applyAlignment="1" pivotButton="0" quotePrefix="0" xfId="0">
      <alignment horizontal="center" vertical="center"/>
    </xf>
    <xf numFmtId="0" fontId="44" fillId="24" borderId="2" applyAlignment="1" pivotButton="0" quotePrefix="0" xfId="0">
      <alignment horizontal="center" vertical="center" wrapText="1"/>
    </xf>
    <xf numFmtId="4" fontId="44" fillId="24" borderId="2" applyAlignment="1" pivotButton="0" quotePrefix="0" xfId="0">
      <alignment horizontal="center" vertical="center"/>
    </xf>
    <xf numFmtId="3" fontId="45" fillId="24" borderId="2" applyAlignment="1" pivotButton="0" quotePrefix="0" xfId="0">
      <alignment horizontal="center" vertical="center"/>
    </xf>
    <xf numFmtId="0" fontId="46" fillId="24" borderId="2" applyAlignment="1" pivotButton="0" quotePrefix="0" xfId="0">
      <alignment horizontal="left" vertical="center" wrapText="1" indent="1"/>
    </xf>
    <xf numFmtId="0" fontId="48" fillId="24" borderId="2" applyAlignment="1" pivotButton="0" quotePrefix="0" xfId="0">
      <alignment horizontal="left" vertical="center" wrapText="1" indent="1"/>
    </xf>
    <xf numFmtId="0" fontId="43" fillId="25" borderId="0" applyAlignment="1" pivotButton="0" quotePrefix="0" xfId="0">
      <alignment horizontal="left" vertical="center" indent="1"/>
    </xf>
    <xf numFmtId="0" fontId="44" fillId="26" borderId="2" applyAlignment="1" pivotButton="0" quotePrefix="0" xfId="0">
      <alignment horizontal="center" vertical="center"/>
    </xf>
    <xf numFmtId="0" fontId="45" fillId="26" borderId="2" applyAlignment="1" pivotButton="0" quotePrefix="0" xfId="0">
      <alignment horizontal="left" vertical="center" wrapText="1" indent="1"/>
    </xf>
    <xf numFmtId="0" fontId="46" fillId="26" borderId="2" applyAlignment="1" pivotButton="0" quotePrefix="0" xfId="0">
      <alignment horizontal="left" vertical="center"/>
    </xf>
    <xf numFmtId="167" fontId="44" fillId="26" borderId="2" applyAlignment="1" pivotButton="0" quotePrefix="0" xfId="0">
      <alignment horizontal="center" vertical="center"/>
    </xf>
    <xf numFmtId="167" fontId="47" fillId="26" borderId="2" applyAlignment="1" pivotButton="0" quotePrefix="0" xfId="0">
      <alignment horizontal="center" vertical="center"/>
    </xf>
    <xf numFmtId="0" fontId="44" fillId="26" borderId="2" applyAlignment="1" pivotButton="0" quotePrefix="0" xfId="0">
      <alignment horizontal="center" vertical="center" wrapText="1"/>
    </xf>
    <xf numFmtId="4" fontId="44" fillId="26" borderId="2" applyAlignment="1" pivotButton="0" quotePrefix="0" xfId="0">
      <alignment horizontal="center" vertical="center"/>
    </xf>
    <xf numFmtId="3" fontId="45" fillId="26" borderId="2" applyAlignment="1" pivotButton="0" quotePrefix="0" xfId="0">
      <alignment horizontal="center" vertical="center"/>
    </xf>
    <xf numFmtId="0" fontId="46" fillId="26" borderId="2" applyAlignment="1" pivotButton="0" quotePrefix="0" xfId="0">
      <alignment horizontal="left" vertical="center" wrapText="1" indent="1"/>
    </xf>
    <xf numFmtId="0" fontId="48" fillId="26" borderId="2" applyAlignment="1" pivotButton="0" quotePrefix="0" xfId="0">
      <alignment horizontal="left" vertical="center" wrapText="1" indent="1"/>
    </xf>
    <xf numFmtId="0" fontId="43" fillId="27" borderId="0" applyAlignment="1" pivotButton="0" quotePrefix="0" xfId="0">
      <alignment horizontal="left" vertical="center" indent="1"/>
    </xf>
    <xf numFmtId="0" fontId="44" fillId="28" borderId="2" applyAlignment="1" pivotButton="0" quotePrefix="0" xfId="0">
      <alignment horizontal="center" vertical="center"/>
    </xf>
    <xf numFmtId="0" fontId="45" fillId="28" borderId="2" applyAlignment="1" pivotButton="0" quotePrefix="0" xfId="0">
      <alignment horizontal="left" vertical="center" wrapText="1" indent="1"/>
    </xf>
    <xf numFmtId="0" fontId="46" fillId="28" borderId="2" applyAlignment="1" pivotButton="0" quotePrefix="0" xfId="0">
      <alignment horizontal="left" vertical="center"/>
    </xf>
    <xf numFmtId="167" fontId="44" fillId="28" borderId="2" applyAlignment="1" pivotButton="0" quotePrefix="0" xfId="0">
      <alignment horizontal="center" vertical="center"/>
    </xf>
    <xf numFmtId="167" fontId="47" fillId="28" borderId="2" applyAlignment="1" pivotButton="0" quotePrefix="0" xfId="0">
      <alignment horizontal="center" vertical="center"/>
    </xf>
    <xf numFmtId="0" fontId="44" fillId="28" borderId="2" applyAlignment="1" pivotButton="0" quotePrefix="0" xfId="0">
      <alignment horizontal="center" vertical="center" wrapText="1"/>
    </xf>
    <xf numFmtId="4" fontId="44" fillId="28" borderId="2" applyAlignment="1" pivotButton="0" quotePrefix="0" xfId="0">
      <alignment horizontal="center" vertical="center"/>
    </xf>
    <xf numFmtId="3" fontId="45" fillId="28" borderId="2" applyAlignment="1" pivotButton="0" quotePrefix="0" xfId="0">
      <alignment horizontal="center" vertical="center"/>
    </xf>
    <xf numFmtId="0" fontId="46" fillId="28" borderId="2" applyAlignment="1" pivotButton="0" quotePrefix="0" xfId="0">
      <alignment horizontal="left" vertical="center" wrapText="1" indent="1"/>
    </xf>
    <xf numFmtId="0" fontId="48" fillId="28" borderId="2" applyAlignment="1" pivotButton="0" quotePrefix="0" xfId="0">
      <alignment horizontal="left" vertical="center" wrapText="1" indent="1"/>
    </xf>
    <xf numFmtId="0" fontId="43" fillId="29" borderId="0" applyAlignment="1" pivotButton="0" quotePrefix="0" xfId="0">
      <alignment horizontal="left" vertical="center" indent="1"/>
    </xf>
    <xf numFmtId="0" fontId="44" fillId="10" borderId="2" applyAlignment="1" pivotButton="0" quotePrefix="0" xfId="0">
      <alignment horizontal="center" vertical="center"/>
    </xf>
    <xf numFmtId="0" fontId="45" fillId="10" borderId="2" applyAlignment="1" pivotButton="0" quotePrefix="0" xfId="0">
      <alignment horizontal="left" vertical="center" wrapText="1" indent="1"/>
    </xf>
    <xf numFmtId="0" fontId="46" fillId="10" borderId="2" applyAlignment="1" pivotButton="0" quotePrefix="0" xfId="0">
      <alignment horizontal="left" vertical="center"/>
    </xf>
    <xf numFmtId="167" fontId="44" fillId="10" borderId="2" applyAlignment="1" pivotButton="0" quotePrefix="0" xfId="0">
      <alignment horizontal="center" vertical="center"/>
    </xf>
    <xf numFmtId="167" fontId="47" fillId="10" borderId="2" applyAlignment="1" pivotButton="0" quotePrefix="0" xfId="0">
      <alignment horizontal="center" vertical="center"/>
    </xf>
    <xf numFmtId="0" fontId="44" fillId="10" borderId="2" applyAlignment="1" pivotButton="0" quotePrefix="0" xfId="0">
      <alignment horizontal="center" vertical="center" wrapText="1"/>
    </xf>
    <xf numFmtId="4" fontId="44" fillId="10" borderId="2" applyAlignment="1" pivotButton="0" quotePrefix="0" xfId="0">
      <alignment horizontal="center" vertical="center"/>
    </xf>
    <xf numFmtId="3" fontId="45" fillId="10" borderId="2" applyAlignment="1" pivotButton="0" quotePrefix="0" xfId="0">
      <alignment horizontal="center" vertical="center"/>
    </xf>
    <xf numFmtId="0" fontId="46" fillId="10" borderId="2" applyAlignment="1" pivotButton="0" quotePrefix="0" xfId="0">
      <alignment horizontal="left" vertical="center" wrapText="1" indent="1"/>
    </xf>
    <xf numFmtId="0" fontId="48" fillId="10" borderId="2" applyAlignment="1" pivotButton="0" quotePrefix="0" xfId="0">
      <alignment horizontal="left" vertical="center" wrapText="1" indent="1"/>
    </xf>
    <xf numFmtId="0" fontId="43" fillId="30" borderId="0" applyAlignment="1" pivotButton="0" quotePrefix="0" xfId="0">
      <alignment horizontal="left" vertical="center" indent="1"/>
    </xf>
    <xf numFmtId="0" fontId="44" fillId="31" borderId="2" applyAlignment="1" pivotButton="0" quotePrefix="0" xfId="0">
      <alignment horizontal="center" vertical="center"/>
    </xf>
    <xf numFmtId="0" fontId="45" fillId="31" borderId="2" applyAlignment="1" pivotButton="0" quotePrefix="0" xfId="0">
      <alignment horizontal="left" vertical="center" wrapText="1" indent="1"/>
    </xf>
    <xf numFmtId="0" fontId="46" fillId="31" borderId="2" applyAlignment="1" pivotButton="0" quotePrefix="0" xfId="0">
      <alignment horizontal="left" vertical="center"/>
    </xf>
    <xf numFmtId="167" fontId="44" fillId="31" borderId="2" applyAlignment="1" pivotButton="0" quotePrefix="0" xfId="0">
      <alignment horizontal="center" vertical="center"/>
    </xf>
    <xf numFmtId="167" fontId="47" fillId="31" borderId="2" applyAlignment="1" pivotButton="0" quotePrefix="0" xfId="0">
      <alignment horizontal="center" vertical="center"/>
    </xf>
    <xf numFmtId="0" fontId="44" fillId="31" borderId="2" applyAlignment="1" pivotButton="0" quotePrefix="0" xfId="0">
      <alignment horizontal="center" vertical="center" wrapText="1"/>
    </xf>
    <xf numFmtId="4" fontId="44" fillId="31" borderId="2" applyAlignment="1" pivotButton="0" quotePrefix="0" xfId="0">
      <alignment horizontal="center" vertical="center"/>
    </xf>
    <xf numFmtId="3" fontId="45" fillId="31" borderId="2" applyAlignment="1" pivotButton="0" quotePrefix="0" xfId="0">
      <alignment horizontal="center" vertical="center"/>
    </xf>
    <xf numFmtId="0" fontId="46" fillId="31" borderId="2" applyAlignment="1" pivotButton="0" quotePrefix="0" xfId="0">
      <alignment horizontal="left" vertical="center" wrapText="1" indent="1"/>
    </xf>
    <xf numFmtId="0" fontId="48" fillId="31" borderId="2" applyAlignment="1" pivotButton="0" quotePrefix="0" xfId="0">
      <alignment horizontal="left" vertical="center" wrapText="1" indent="1"/>
    </xf>
    <xf numFmtId="0" fontId="49" fillId="7" borderId="0" applyAlignment="1" pivotButton="0" quotePrefix="0" xfId="0">
      <alignment horizontal="right" vertical="center" indent="1"/>
    </xf>
    <xf numFmtId="3" fontId="50" fillId="7" borderId="7" applyAlignment="1" pivotButton="0" quotePrefix="0" xfId="0">
      <alignment horizontal="center" vertical="center"/>
    </xf>
    <xf numFmtId="0" fontId="0" fillId="7" borderId="0" pivotButton="0" quotePrefix="0" xfId="0"/>
    <xf numFmtId="0" fontId="51" fillId="32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42" fillId="32" borderId="2" applyAlignment="1" pivotButton="0" quotePrefix="0" xfId="0">
      <alignment horizontal="center" vertical="center" wrapText="1"/>
    </xf>
    <xf numFmtId="0" fontId="33" fillId="33" borderId="2" applyAlignment="1" pivotButton="0" quotePrefix="0" xfId="0">
      <alignment horizontal="center" vertical="center"/>
    </xf>
    <xf numFmtId="0" fontId="31" fillId="34" borderId="0" applyAlignment="1" pivotButton="0" quotePrefix="0" xfId="0">
      <alignment horizontal="left" vertical="center" indent="1"/>
    </xf>
    <xf numFmtId="0" fontId="44" fillId="16" borderId="2" applyAlignment="1" pivotButton="0" quotePrefix="0" xfId="0">
      <alignment horizontal="center" vertical="center"/>
    </xf>
    <xf numFmtId="0" fontId="52" fillId="16" borderId="2" applyAlignment="1" pivotButton="0" quotePrefix="0" xfId="0">
      <alignment horizontal="left" vertical="center" wrapText="1" indent="1"/>
    </xf>
    <xf numFmtId="0" fontId="53" fillId="16" borderId="2" applyAlignment="1" pivotButton="0" quotePrefix="0" xfId="0">
      <alignment horizontal="left" vertical="center"/>
    </xf>
    <xf numFmtId="167" fontId="44" fillId="16" borderId="2" applyAlignment="1" pivotButton="0" quotePrefix="0" xfId="0">
      <alignment horizontal="center" vertical="center"/>
    </xf>
    <xf numFmtId="167" fontId="52" fillId="16" borderId="2" applyAlignment="1" pivotButton="0" quotePrefix="0" xfId="0">
      <alignment horizontal="center" vertical="center"/>
    </xf>
    <xf numFmtId="4" fontId="44" fillId="16" borderId="2" applyAlignment="1" pivotButton="0" quotePrefix="0" xfId="0">
      <alignment horizontal="center" vertical="center"/>
    </xf>
    <xf numFmtId="3" fontId="45" fillId="16" borderId="2" applyAlignment="1" pivotButton="0" quotePrefix="0" xfId="0">
      <alignment horizontal="center" vertical="center"/>
    </xf>
    <xf numFmtId="0" fontId="44" fillId="10" borderId="2" applyAlignment="1" pivotButton="0" quotePrefix="0" xfId="0">
      <alignment horizontal="center" vertical="center"/>
    </xf>
    <xf numFmtId="0" fontId="52" fillId="10" borderId="2" applyAlignment="1" pivotButton="0" quotePrefix="0" xfId="0">
      <alignment horizontal="left" vertical="center" wrapText="1" indent="1"/>
    </xf>
    <xf numFmtId="0" fontId="53" fillId="10" borderId="2" applyAlignment="1" pivotButton="0" quotePrefix="0" xfId="0">
      <alignment horizontal="left" vertical="center"/>
    </xf>
    <xf numFmtId="167" fontId="44" fillId="10" borderId="2" applyAlignment="1" pivotButton="0" quotePrefix="0" xfId="0">
      <alignment horizontal="center" vertical="center"/>
    </xf>
    <xf numFmtId="167" fontId="52" fillId="10" borderId="2" applyAlignment="1" pivotButton="0" quotePrefix="0" xfId="0">
      <alignment horizontal="center" vertical="center"/>
    </xf>
    <xf numFmtId="4" fontId="44" fillId="10" borderId="2" applyAlignment="1" pivotButton="0" quotePrefix="0" xfId="0">
      <alignment horizontal="center" vertical="center"/>
    </xf>
    <xf numFmtId="3" fontId="45" fillId="10" borderId="2" applyAlignment="1" pivotButton="0" quotePrefix="0" xfId="0">
      <alignment horizontal="center" vertical="center"/>
    </xf>
    <xf numFmtId="0" fontId="31" fillId="35" borderId="0" applyAlignment="1" pivotButton="0" quotePrefix="0" xfId="0">
      <alignment horizontal="left" vertical="center" indent="1"/>
    </xf>
    <xf numFmtId="0" fontId="44" fillId="20" borderId="2" applyAlignment="1" pivotButton="0" quotePrefix="0" xfId="0">
      <alignment horizontal="center" vertical="center"/>
    </xf>
    <xf numFmtId="0" fontId="54" fillId="20" borderId="2" applyAlignment="1" pivotButton="0" quotePrefix="0" xfId="0">
      <alignment horizontal="left" vertical="center" wrapText="1" indent="1"/>
    </xf>
    <xf numFmtId="0" fontId="53" fillId="20" borderId="2" applyAlignment="1" pivotButton="0" quotePrefix="0" xfId="0">
      <alignment horizontal="left" vertical="center"/>
    </xf>
    <xf numFmtId="167" fontId="44" fillId="20" borderId="2" applyAlignment="1" pivotButton="0" quotePrefix="0" xfId="0">
      <alignment horizontal="center" vertical="center"/>
    </xf>
    <xf numFmtId="167" fontId="54" fillId="20" borderId="2" applyAlignment="1" pivotButton="0" quotePrefix="0" xfId="0">
      <alignment horizontal="center" vertical="center"/>
    </xf>
    <xf numFmtId="4" fontId="44" fillId="20" borderId="2" applyAlignment="1" pivotButton="0" quotePrefix="0" xfId="0">
      <alignment horizontal="center" vertical="center"/>
    </xf>
    <xf numFmtId="3" fontId="45" fillId="20" borderId="2" applyAlignment="1" pivotButton="0" quotePrefix="0" xfId="0">
      <alignment horizontal="center" vertical="center"/>
    </xf>
    <xf numFmtId="0" fontId="54" fillId="10" borderId="2" applyAlignment="1" pivotButton="0" quotePrefix="0" xfId="0">
      <alignment horizontal="left" vertical="center" wrapText="1" indent="1"/>
    </xf>
    <xf numFmtId="167" fontId="54" fillId="10" borderId="2" applyAlignment="1" pivotButton="0" quotePrefix="0" xfId="0">
      <alignment horizontal="center" vertical="center"/>
    </xf>
    <xf numFmtId="0" fontId="31" fillId="36" borderId="0" applyAlignment="1" pivotButton="0" quotePrefix="0" xfId="0">
      <alignment horizontal="left" vertical="center" indent="1"/>
    </xf>
    <xf numFmtId="0" fontId="44" fillId="22" borderId="2" applyAlignment="1" pivotButton="0" quotePrefix="0" xfId="0">
      <alignment horizontal="center" vertical="center"/>
    </xf>
    <xf numFmtId="0" fontId="55" fillId="22" borderId="2" applyAlignment="1" pivotButton="0" quotePrefix="0" xfId="0">
      <alignment horizontal="left" vertical="center" wrapText="1" indent="1"/>
    </xf>
    <xf numFmtId="0" fontId="53" fillId="22" borderId="2" applyAlignment="1" pivotButton="0" quotePrefix="0" xfId="0">
      <alignment horizontal="left" vertical="center"/>
    </xf>
    <xf numFmtId="167" fontId="44" fillId="22" borderId="2" applyAlignment="1" pivotButton="0" quotePrefix="0" xfId="0">
      <alignment horizontal="center" vertical="center"/>
    </xf>
    <xf numFmtId="167" fontId="55" fillId="22" borderId="2" applyAlignment="1" pivotButton="0" quotePrefix="0" xfId="0">
      <alignment horizontal="center" vertical="center"/>
    </xf>
    <xf numFmtId="4" fontId="44" fillId="22" borderId="2" applyAlignment="1" pivotButton="0" quotePrefix="0" xfId="0">
      <alignment horizontal="center" vertical="center"/>
    </xf>
    <xf numFmtId="3" fontId="45" fillId="22" borderId="2" applyAlignment="1" pivotButton="0" quotePrefix="0" xfId="0">
      <alignment horizontal="center" vertical="center"/>
    </xf>
    <xf numFmtId="0" fontId="55" fillId="10" borderId="2" applyAlignment="1" pivotButton="0" quotePrefix="0" xfId="0">
      <alignment horizontal="left" vertical="center" wrapText="1" indent="1"/>
    </xf>
    <xf numFmtId="167" fontId="55" fillId="10" borderId="2" applyAlignment="1" pivotButton="0" quotePrefix="0" xfId="0">
      <alignment horizontal="center" vertical="center"/>
    </xf>
    <xf numFmtId="0" fontId="31" fillId="37" borderId="0" applyAlignment="1" pivotButton="0" quotePrefix="0" xfId="0">
      <alignment horizontal="left" vertical="center" indent="1"/>
    </xf>
    <xf numFmtId="0" fontId="44" fillId="24" borderId="2" applyAlignment="1" pivotButton="0" quotePrefix="0" xfId="0">
      <alignment horizontal="center" vertical="center"/>
    </xf>
    <xf numFmtId="0" fontId="56" fillId="24" borderId="2" applyAlignment="1" pivotButton="0" quotePrefix="0" xfId="0">
      <alignment horizontal="left" vertical="center" wrapText="1" indent="1"/>
    </xf>
    <xf numFmtId="0" fontId="53" fillId="24" borderId="2" applyAlignment="1" pivotButton="0" quotePrefix="0" xfId="0">
      <alignment horizontal="left" vertical="center"/>
    </xf>
    <xf numFmtId="167" fontId="44" fillId="24" borderId="2" applyAlignment="1" pivotButton="0" quotePrefix="0" xfId="0">
      <alignment horizontal="center" vertical="center"/>
    </xf>
    <xf numFmtId="167" fontId="56" fillId="24" borderId="2" applyAlignment="1" pivotButton="0" quotePrefix="0" xfId="0">
      <alignment horizontal="center" vertical="center"/>
    </xf>
    <xf numFmtId="4" fontId="44" fillId="24" borderId="2" applyAlignment="1" pivotButton="0" quotePrefix="0" xfId="0">
      <alignment horizontal="center" vertical="center"/>
    </xf>
    <xf numFmtId="3" fontId="45" fillId="24" borderId="2" applyAlignment="1" pivotButton="0" quotePrefix="0" xfId="0">
      <alignment horizontal="center" vertical="center"/>
    </xf>
    <xf numFmtId="0" fontId="56" fillId="10" borderId="2" applyAlignment="1" pivotButton="0" quotePrefix="0" xfId="0">
      <alignment horizontal="left" vertical="center" wrapText="1" indent="1"/>
    </xf>
    <xf numFmtId="167" fontId="56" fillId="10" borderId="2" applyAlignment="1" pivotButton="0" quotePrefix="0" xfId="0">
      <alignment horizontal="center" vertical="center"/>
    </xf>
    <xf numFmtId="0" fontId="31" fillId="38" borderId="0" applyAlignment="1" pivotButton="0" quotePrefix="0" xfId="0">
      <alignment horizontal="left" vertical="center" indent="1"/>
    </xf>
    <xf numFmtId="0" fontId="44" fillId="26" borderId="2" applyAlignment="1" pivotButton="0" quotePrefix="0" xfId="0">
      <alignment horizontal="center" vertical="center"/>
    </xf>
    <xf numFmtId="0" fontId="57" fillId="26" borderId="2" applyAlignment="1" pivotButton="0" quotePrefix="0" xfId="0">
      <alignment horizontal="left" vertical="center" wrapText="1" indent="1"/>
    </xf>
    <xf numFmtId="0" fontId="53" fillId="26" borderId="2" applyAlignment="1" pivotButton="0" quotePrefix="0" xfId="0">
      <alignment horizontal="left" vertical="center"/>
    </xf>
    <xf numFmtId="167" fontId="44" fillId="26" borderId="2" applyAlignment="1" pivotButton="0" quotePrefix="0" xfId="0">
      <alignment horizontal="center" vertical="center"/>
    </xf>
    <xf numFmtId="167" fontId="57" fillId="26" borderId="2" applyAlignment="1" pivotButton="0" quotePrefix="0" xfId="0">
      <alignment horizontal="center" vertical="center"/>
    </xf>
    <xf numFmtId="4" fontId="44" fillId="26" borderId="2" applyAlignment="1" pivotButton="0" quotePrefix="0" xfId="0">
      <alignment horizontal="center" vertical="center"/>
    </xf>
    <xf numFmtId="3" fontId="45" fillId="26" borderId="2" applyAlignment="1" pivotButton="0" quotePrefix="0" xfId="0">
      <alignment horizontal="center" vertical="center"/>
    </xf>
    <xf numFmtId="0" fontId="57" fillId="10" borderId="2" applyAlignment="1" pivotButton="0" quotePrefix="0" xfId="0">
      <alignment horizontal="left" vertical="center" wrapText="1" indent="1"/>
    </xf>
    <xf numFmtId="167" fontId="57" fillId="10" borderId="2" applyAlignment="1" pivotButton="0" quotePrefix="0" xfId="0">
      <alignment horizontal="center" vertical="center"/>
    </xf>
    <xf numFmtId="0" fontId="31" fillId="39" borderId="0" applyAlignment="1" pivotButton="0" quotePrefix="0" xfId="0">
      <alignment horizontal="left" vertical="center" indent="1"/>
    </xf>
    <xf numFmtId="0" fontId="44" fillId="28" borderId="2" applyAlignment="1" pivotButton="0" quotePrefix="0" xfId="0">
      <alignment horizontal="center" vertical="center"/>
    </xf>
    <xf numFmtId="0" fontId="58" fillId="28" borderId="2" applyAlignment="1" pivotButton="0" quotePrefix="0" xfId="0">
      <alignment horizontal="left" vertical="center" wrapText="1" indent="1"/>
    </xf>
    <xf numFmtId="0" fontId="53" fillId="28" borderId="2" applyAlignment="1" pivotButton="0" quotePrefix="0" xfId="0">
      <alignment horizontal="left" vertical="center"/>
    </xf>
    <xf numFmtId="167" fontId="44" fillId="28" borderId="2" applyAlignment="1" pivotButton="0" quotePrefix="0" xfId="0">
      <alignment horizontal="center" vertical="center"/>
    </xf>
    <xf numFmtId="167" fontId="58" fillId="28" borderId="2" applyAlignment="1" pivotButton="0" quotePrefix="0" xfId="0">
      <alignment horizontal="center" vertical="center"/>
    </xf>
    <xf numFmtId="4" fontId="44" fillId="28" borderId="2" applyAlignment="1" pivotButton="0" quotePrefix="0" xfId="0">
      <alignment horizontal="center" vertical="center"/>
    </xf>
    <xf numFmtId="3" fontId="45" fillId="28" borderId="2" applyAlignment="1" pivotButton="0" quotePrefix="0" xfId="0">
      <alignment horizontal="center" vertical="center"/>
    </xf>
    <xf numFmtId="0" fontId="58" fillId="10" borderId="2" applyAlignment="1" pivotButton="0" quotePrefix="0" xfId="0">
      <alignment horizontal="left" vertical="center" wrapText="1" indent="1"/>
    </xf>
    <xf numFmtId="167" fontId="58" fillId="10" borderId="2" applyAlignment="1" pivotButton="0" quotePrefix="0" xfId="0">
      <alignment horizontal="center" vertical="center"/>
    </xf>
    <xf numFmtId="0" fontId="31" fillId="40" borderId="0" applyAlignment="1" pivotButton="0" quotePrefix="0" xfId="0">
      <alignment horizontal="left" vertical="center" indent="1"/>
    </xf>
    <xf numFmtId="0" fontId="44" fillId="18" borderId="2" applyAlignment="1" pivotButton="0" quotePrefix="0" xfId="0">
      <alignment horizontal="center" vertical="center"/>
    </xf>
    <xf numFmtId="0" fontId="59" fillId="18" borderId="2" applyAlignment="1" pivotButton="0" quotePrefix="0" xfId="0">
      <alignment horizontal="left" vertical="center" wrapText="1" indent="1"/>
    </xf>
    <xf numFmtId="0" fontId="53" fillId="18" borderId="2" applyAlignment="1" pivotButton="0" quotePrefix="0" xfId="0">
      <alignment horizontal="left" vertical="center"/>
    </xf>
    <xf numFmtId="167" fontId="44" fillId="18" borderId="2" applyAlignment="1" pivotButton="0" quotePrefix="0" xfId="0">
      <alignment horizontal="center" vertical="center"/>
    </xf>
    <xf numFmtId="167" fontId="59" fillId="18" borderId="2" applyAlignment="1" pivotButton="0" quotePrefix="0" xfId="0">
      <alignment horizontal="center" vertical="center"/>
    </xf>
    <xf numFmtId="4" fontId="44" fillId="18" borderId="2" applyAlignment="1" pivotButton="0" quotePrefix="0" xfId="0">
      <alignment horizontal="center" vertical="center"/>
    </xf>
    <xf numFmtId="3" fontId="45" fillId="18" borderId="2" applyAlignment="1" pivotButton="0" quotePrefix="0" xfId="0">
      <alignment horizontal="center" vertical="center"/>
    </xf>
    <xf numFmtId="0" fontId="59" fillId="10" borderId="2" applyAlignment="1" pivotButton="0" quotePrefix="0" xfId="0">
      <alignment horizontal="left" vertical="center" wrapText="1" indent="1"/>
    </xf>
    <xf numFmtId="167" fontId="59" fillId="10" borderId="2" applyAlignment="1" pivotButton="0" quotePrefix="0" xfId="0">
      <alignment horizontal="center" vertical="center"/>
    </xf>
    <xf numFmtId="0" fontId="31" fillId="41" borderId="0" applyAlignment="1" pivotButton="0" quotePrefix="0" xfId="0">
      <alignment horizontal="left" vertical="center" indent="1"/>
    </xf>
    <xf numFmtId="0" fontId="44" fillId="31" borderId="2" applyAlignment="1" pivotButton="0" quotePrefix="0" xfId="0">
      <alignment horizontal="center" vertical="center"/>
    </xf>
    <xf numFmtId="0" fontId="60" fillId="31" borderId="2" applyAlignment="1" pivotButton="0" quotePrefix="0" xfId="0">
      <alignment horizontal="left" vertical="center" wrapText="1" indent="1"/>
    </xf>
    <xf numFmtId="0" fontId="53" fillId="31" borderId="2" applyAlignment="1" pivotButton="0" quotePrefix="0" xfId="0">
      <alignment horizontal="left" vertical="center"/>
    </xf>
    <xf numFmtId="167" fontId="44" fillId="31" borderId="2" applyAlignment="1" pivotButton="0" quotePrefix="0" xfId="0">
      <alignment horizontal="center" vertical="center"/>
    </xf>
    <xf numFmtId="167" fontId="60" fillId="31" borderId="2" applyAlignment="1" pivotButton="0" quotePrefix="0" xfId="0">
      <alignment horizontal="center" vertical="center"/>
    </xf>
    <xf numFmtId="4" fontId="44" fillId="31" borderId="2" applyAlignment="1" pivotButton="0" quotePrefix="0" xfId="0">
      <alignment horizontal="center" vertical="center"/>
    </xf>
    <xf numFmtId="3" fontId="45" fillId="31" borderId="2" applyAlignment="1" pivotButton="0" quotePrefix="0" xfId="0">
      <alignment horizontal="center" vertical="center"/>
    </xf>
    <xf numFmtId="0" fontId="60" fillId="10" borderId="2" applyAlignment="1" pivotButton="0" quotePrefix="0" xfId="0">
      <alignment horizontal="left" vertical="center" wrapText="1" indent="1"/>
    </xf>
    <xf numFmtId="167" fontId="60" fillId="10" borderId="2" applyAlignment="1" pivotButton="0" quotePrefix="0" xfId="0">
      <alignment horizontal="center" vertical="center"/>
    </xf>
    <xf numFmtId="0" fontId="44" fillId="16" borderId="2" applyAlignment="1" pivotButton="0" quotePrefix="0" xfId="0">
      <alignment horizontal="center" vertical="center"/>
    </xf>
    <xf numFmtId="0" fontId="53" fillId="16" borderId="2" applyAlignment="1" pivotButton="0" quotePrefix="0" xfId="0">
      <alignment horizontal="left" vertical="center"/>
    </xf>
    <xf numFmtId="167" fontId="44" fillId="16" borderId="2" applyAlignment="1" pivotButton="0" quotePrefix="0" xfId="0">
      <alignment horizontal="center" vertical="center"/>
    </xf>
    <xf numFmtId="167" fontId="52" fillId="16" borderId="2" applyAlignment="1" pivotButton="0" quotePrefix="0" xfId="0">
      <alignment horizontal="center" vertical="center"/>
    </xf>
    <xf numFmtId="4" fontId="44" fillId="16" borderId="2" applyAlignment="1" pivotButton="0" quotePrefix="0" xfId="0">
      <alignment horizontal="center" vertical="center"/>
    </xf>
    <xf numFmtId="3" fontId="45" fillId="16" borderId="2" applyAlignment="1" pivotButton="0" quotePrefix="0" xfId="0">
      <alignment horizontal="center" vertical="center"/>
    </xf>
    <xf numFmtId="0" fontId="44" fillId="10" borderId="2" applyAlignment="1" pivotButton="0" quotePrefix="0" xfId="0">
      <alignment horizontal="center" vertical="center"/>
    </xf>
    <xf numFmtId="0" fontId="53" fillId="10" borderId="2" applyAlignment="1" pivotButton="0" quotePrefix="0" xfId="0">
      <alignment horizontal="left" vertical="center"/>
    </xf>
    <xf numFmtId="167" fontId="44" fillId="10" borderId="2" applyAlignment="1" pivotButton="0" quotePrefix="0" xfId="0">
      <alignment horizontal="center" vertical="center"/>
    </xf>
    <xf numFmtId="167" fontId="52" fillId="10" borderId="2" applyAlignment="1" pivotButton="0" quotePrefix="0" xfId="0">
      <alignment horizontal="center" vertical="center"/>
    </xf>
    <xf numFmtId="4" fontId="44" fillId="10" borderId="2" applyAlignment="1" pivotButton="0" quotePrefix="0" xfId="0">
      <alignment horizontal="center" vertical="center"/>
    </xf>
    <xf numFmtId="3" fontId="45" fillId="10" borderId="2" applyAlignment="1" pivotButton="0" quotePrefix="0" xfId="0">
      <alignment horizontal="center" vertical="center"/>
    </xf>
    <xf numFmtId="0" fontId="44" fillId="20" borderId="2" applyAlignment="1" pivotButton="0" quotePrefix="0" xfId="0">
      <alignment horizontal="center" vertical="center"/>
    </xf>
    <xf numFmtId="0" fontId="53" fillId="20" borderId="2" applyAlignment="1" pivotButton="0" quotePrefix="0" xfId="0">
      <alignment horizontal="left" vertical="center"/>
    </xf>
    <xf numFmtId="167" fontId="44" fillId="20" borderId="2" applyAlignment="1" pivotButton="0" quotePrefix="0" xfId="0">
      <alignment horizontal="center" vertical="center"/>
    </xf>
    <xf numFmtId="167" fontId="54" fillId="20" borderId="2" applyAlignment="1" pivotButton="0" quotePrefix="0" xfId="0">
      <alignment horizontal="center" vertical="center"/>
    </xf>
    <xf numFmtId="4" fontId="44" fillId="20" borderId="2" applyAlignment="1" pivotButton="0" quotePrefix="0" xfId="0">
      <alignment horizontal="center" vertical="center"/>
    </xf>
    <xf numFmtId="3" fontId="45" fillId="20" borderId="2" applyAlignment="1" pivotButton="0" quotePrefix="0" xfId="0">
      <alignment horizontal="center" vertical="center"/>
    </xf>
    <xf numFmtId="167" fontId="54" fillId="10" borderId="2" applyAlignment="1" pivotButton="0" quotePrefix="0" xfId="0">
      <alignment horizontal="center" vertical="center"/>
    </xf>
    <xf numFmtId="0" fontId="44" fillId="22" borderId="2" applyAlignment="1" pivotButton="0" quotePrefix="0" xfId="0">
      <alignment horizontal="center" vertical="center"/>
    </xf>
    <xf numFmtId="0" fontId="53" fillId="22" borderId="2" applyAlignment="1" pivotButton="0" quotePrefix="0" xfId="0">
      <alignment horizontal="left" vertical="center"/>
    </xf>
    <xf numFmtId="167" fontId="44" fillId="22" borderId="2" applyAlignment="1" pivotButton="0" quotePrefix="0" xfId="0">
      <alignment horizontal="center" vertical="center"/>
    </xf>
    <xf numFmtId="167" fontId="55" fillId="22" borderId="2" applyAlignment="1" pivotButton="0" quotePrefix="0" xfId="0">
      <alignment horizontal="center" vertical="center"/>
    </xf>
    <xf numFmtId="4" fontId="44" fillId="22" borderId="2" applyAlignment="1" pivotButton="0" quotePrefix="0" xfId="0">
      <alignment horizontal="center" vertical="center"/>
    </xf>
    <xf numFmtId="3" fontId="45" fillId="22" borderId="2" applyAlignment="1" pivotButton="0" quotePrefix="0" xfId="0">
      <alignment horizontal="center" vertical="center"/>
    </xf>
    <xf numFmtId="167" fontId="55" fillId="10" borderId="2" applyAlignment="1" pivotButton="0" quotePrefix="0" xfId="0">
      <alignment horizontal="center" vertical="center"/>
    </xf>
    <xf numFmtId="0" fontId="44" fillId="24" borderId="2" applyAlignment="1" pivotButton="0" quotePrefix="0" xfId="0">
      <alignment horizontal="center" vertical="center"/>
    </xf>
    <xf numFmtId="0" fontId="53" fillId="24" borderId="2" applyAlignment="1" pivotButton="0" quotePrefix="0" xfId="0">
      <alignment horizontal="left" vertical="center"/>
    </xf>
    <xf numFmtId="167" fontId="44" fillId="24" borderId="2" applyAlignment="1" pivotButton="0" quotePrefix="0" xfId="0">
      <alignment horizontal="center" vertical="center"/>
    </xf>
    <xf numFmtId="167" fontId="56" fillId="24" borderId="2" applyAlignment="1" pivotButton="0" quotePrefix="0" xfId="0">
      <alignment horizontal="center" vertical="center"/>
    </xf>
    <xf numFmtId="4" fontId="44" fillId="24" borderId="2" applyAlignment="1" pivotButton="0" quotePrefix="0" xfId="0">
      <alignment horizontal="center" vertical="center"/>
    </xf>
    <xf numFmtId="3" fontId="45" fillId="24" borderId="2" applyAlignment="1" pivotButton="0" quotePrefix="0" xfId="0">
      <alignment horizontal="center" vertical="center"/>
    </xf>
    <xf numFmtId="167" fontId="56" fillId="10" borderId="2" applyAlignment="1" pivotButton="0" quotePrefix="0" xfId="0">
      <alignment horizontal="center" vertical="center"/>
    </xf>
    <xf numFmtId="0" fontId="44" fillId="26" borderId="2" applyAlignment="1" pivotButton="0" quotePrefix="0" xfId="0">
      <alignment horizontal="center" vertical="center"/>
    </xf>
    <xf numFmtId="0" fontId="53" fillId="26" borderId="2" applyAlignment="1" pivotButton="0" quotePrefix="0" xfId="0">
      <alignment horizontal="left" vertical="center"/>
    </xf>
    <xf numFmtId="167" fontId="44" fillId="26" borderId="2" applyAlignment="1" pivotButton="0" quotePrefix="0" xfId="0">
      <alignment horizontal="center" vertical="center"/>
    </xf>
    <xf numFmtId="167" fontId="57" fillId="26" borderId="2" applyAlignment="1" pivotButton="0" quotePrefix="0" xfId="0">
      <alignment horizontal="center" vertical="center"/>
    </xf>
    <xf numFmtId="4" fontId="44" fillId="26" borderId="2" applyAlignment="1" pivotButton="0" quotePrefix="0" xfId="0">
      <alignment horizontal="center" vertical="center"/>
    </xf>
    <xf numFmtId="3" fontId="45" fillId="26" borderId="2" applyAlignment="1" pivotButton="0" quotePrefix="0" xfId="0">
      <alignment horizontal="center" vertical="center"/>
    </xf>
    <xf numFmtId="167" fontId="57" fillId="10" borderId="2" applyAlignment="1" pivotButton="0" quotePrefix="0" xfId="0">
      <alignment horizontal="center" vertical="center"/>
    </xf>
    <xf numFmtId="0" fontId="44" fillId="28" borderId="2" applyAlignment="1" pivotButton="0" quotePrefix="0" xfId="0">
      <alignment horizontal="center" vertical="center"/>
    </xf>
    <xf numFmtId="0" fontId="53" fillId="28" borderId="2" applyAlignment="1" pivotButton="0" quotePrefix="0" xfId="0">
      <alignment horizontal="left" vertical="center"/>
    </xf>
    <xf numFmtId="167" fontId="44" fillId="28" borderId="2" applyAlignment="1" pivotButton="0" quotePrefix="0" xfId="0">
      <alignment horizontal="center" vertical="center"/>
    </xf>
    <xf numFmtId="167" fontId="58" fillId="28" borderId="2" applyAlignment="1" pivotButton="0" quotePrefix="0" xfId="0">
      <alignment horizontal="center" vertical="center"/>
    </xf>
    <xf numFmtId="4" fontId="44" fillId="28" borderId="2" applyAlignment="1" pivotButton="0" quotePrefix="0" xfId="0">
      <alignment horizontal="center" vertical="center"/>
    </xf>
    <xf numFmtId="3" fontId="45" fillId="28" borderId="2" applyAlignment="1" pivotButton="0" quotePrefix="0" xfId="0">
      <alignment horizontal="center" vertical="center"/>
    </xf>
    <xf numFmtId="167" fontId="58" fillId="10" borderId="2" applyAlignment="1" pivotButton="0" quotePrefix="0" xfId="0">
      <alignment horizontal="center" vertical="center"/>
    </xf>
    <xf numFmtId="0" fontId="44" fillId="18" borderId="2" applyAlignment="1" pivotButton="0" quotePrefix="0" xfId="0">
      <alignment horizontal="center" vertical="center"/>
    </xf>
    <xf numFmtId="0" fontId="53" fillId="18" borderId="2" applyAlignment="1" pivotButton="0" quotePrefix="0" xfId="0">
      <alignment horizontal="left" vertical="center"/>
    </xf>
    <xf numFmtId="167" fontId="44" fillId="18" borderId="2" applyAlignment="1" pivotButton="0" quotePrefix="0" xfId="0">
      <alignment horizontal="center" vertical="center"/>
    </xf>
    <xf numFmtId="167" fontId="59" fillId="18" borderId="2" applyAlignment="1" pivotButton="0" quotePrefix="0" xfId="0">
      <alignment horizontal="center" vertical="center"/>
    </xf>
    <xf numFmtId="4" fontId="44" fillId="18" borderId="2" applyAlignment="1" pivotButton="0" quotePrefix="0" xfId="0">
      <alignment horizontal="center" vertical="center"/>
    </xf>
    <xf numFmtId="3" fontId="45" fillId="18" borderId="2" applyAlignment="1" pivotButton="0" quotePrefix="0" xfId="0">
      <alignment horizontal="center" vertical="center"/>
    </xf>
    <xf numFmtId="167" fontId="59" fillId="10" borderId="2" applyAlignment="1" pivotButton="0" quotePrefix="0" xfId="0">
      <alignment horizontal="center" vertical="center"/>
    </xf>
    <xf numFmtId="0" fontId="44" fillId="31" borderId="2" applyAlignment="1" pivotButton="0" quotePrefix="0" xfId="0">
      <alignment horizontal="center" vertical="center"/>
    </xf>
    <xf numFmtId="0" fontId="53" fillId="31" borderId="2" applyAlignment="1" pivotButton="0" quotePrefix="0" xfId="0">
      <alignment horizontal="left" vertical="center"/>
    </xf>
    <xf numFmtId="167" fontId="44" fillId="31" borderId="2" applyAlignment="1" pivotButton="0" quotePrefix="0" xfId="0">
      <alignment horizontal="center" vertical="center"/>
    </xf>
    <xf numFmtId="167" fontId="60" fillId="31" borderId="2" applyAlignment="1" pivotButton="0" quotePrefix="0" xfId="0">
      <alignment horizontal="center" vertical="center"/>
    </xf>
    <xf numFmtId="4" fontId="44" fillId="31" borderId="2" applyAlignment="1" pivotButton="0" quotePrefix="0" xfId="0">
      <alignment horizontal="center" vertical="center"/>
    </xf>
    <xf numFmtId="3" fontId="45" fillId="31" borderId="2" applyAlignment="1" pivotButton="0" quotePrefix="0" xfId="0">
      <alignment horizontal="center" vertical="center"/>
    </xf>
    <xf numFmtId="167" fontId="60" fillId="10" borderId="2" applyAlignment="1" pivotButton="0" quotePrefix="0" xfId="0">
      <alignment horizontal="center" vertical="center"/>
    </xf>
    <xf numFmtId="0" fontId="44" fillId="16" borderId="2" applyAlignment="1" pivotButton="0" quotePrefix="0" xfId="0">
      <alignment horizontal="center" vertical="center"/>
    </xf>
    <xf numFmtId="0" fontId="53" fillId="16" borderId="2" applyAlignment="1" pivotButton="0" quotePrefix="0" xfId="0">
      <alignment horizontal="left" vertical="center"/>
    </xf>
    <xf numFmtId="167" fontId="44" fillId="16" borderId="2" applyAlignment="1" pivotButton="0" quotePrefix="0" xfId="0">
      <alignment horizontal="center" vertical="center"/>
    </xf>
    <xf numFmtId="167" fontId="52" fillId="16" borderId="2" applyAlignment="1" pivotButton="0" quotePrefix="0" xfId="0">
      <alignment horizontal="center" vertical="center"/>
    </xf>
    <xf numFmtId="4" fontId="44" fillId="16" borderId="2" applyAlignment="1" pivotButton="0" quotePrefix="0" xfId="0">
      <alignment horizontal="center" vertical="center"/>
    </xf>
    <xf numFmtId="3" fontId="45" fillId="16" borderId="2" applyAlignment="1" pivotButton="0" quotePrefix="0" xfId="0">
      <alignment horizontal="center" vertical="center"/>
    </xf>
    <xf numFmtId="0" fontId="44" fillId="10" borderId="2" applyAlignment="1" pivotButton="0" quotePrefix="0" xfId="0">
      <alignment horizontal="center" vertical="center"/>
    </xf>
    <xf numFmtId="0" fontId="53" fillId="10" borderId="2" applyAlignment="1" pivotButton="0" quotePrefix="0" xfId="0">
      <alignment horizontal="left" vertical="center"/>
    </xf>
    <xf numFmtId="167" fontId="44" fillId="10" borderId="2" applyAlignment="1" pivotButton="0" quotePrefix="0" xfId="0">
      <alignment horizontal="center" vertical="center"/>
    </xf>
    <xf numFmtId="167" fontId="52" fillId="10" borderId="2" applyAlignment="1" pivotButton="0" quotePrefix="0" xfId="0">
      <alignment horizontal="center" vertical="center"/>
    </xf>
    <xf numFmtId="4" fontId="44" fillId="10" borderId="2" applyAlignment="1" pivotButton="0" quotePrefix="0" xfId="0">
      <alignment horizontal="center" vertical="center"/>
    </xf>
    <xf numFmtId="3" fontId="45" fillId="10" borderId="2" applyAlignment="1" pivotButton="0" quotePrefix="0" xfId="0">
      <alignment horizontal="center" vertical="center"/>
    </xf>
    <xf numFmtId="0" fontId="44" fillId="20" borderId="2" applyAlignment="1" pivotButton="0" quotePrefix="0" xfId="0">
      <alignment horizontal="center" vertical="center"/>
    </xf>
    <xf numFmtId="0" fontId="53" fillId="20" borderId="2" applyAlignment="1" pivotButton="0" quotePrefix="0" xfId="0">
      <alignment horizontal="left" vertical="center"/>
    </xf>
    <xf numFmtId="167" fontId="44" fillId="20" borderId="2" applyAlignment="1" pivotButton="0" quotePrefix="0" xfId="0">
      <alignment horizontal="center" vertical="center"/>
    </xf>
    <xf numFmtId="167" fontId="54" fillId="20" borderId="2" applyAlignment="1" pivotButton="0" quotePrefix="0" xfId="0">
      <alignment horizontal="center" vertical="center"/>
    </xf>
    <xf numFmtId="4" fontId="44" fillId="20" borderId="2" applyAlignment="1" pivotButton="0" quotePrefix="0" xfId="0">
      <alignment horizontal="center" vertical="center"/>
    </xf>
    <xf numFmtId="3" fontId="45" fillId="20" borderId="2" applyAlignment="1" pivotButton="0" quotePrefix="0" xfId="0">
      <alignment horizontal="center" vertical="center"/>
    </xf>
    <xf numFmtId="167" fontId="54" fillId="10" borderId="2" applyAlignment="1" pivotButton="0" quotePrefix="0" xfId="0">
      <alignment horizontal="center" vertical="center"/>
    </xf>
    <xf numFmtId="0" fontId="44" fillId="22" borderId="2" applyAlignment="1" pivotButton="0" quotePrefix="0" xfId="0">
      <alignment horizontal="center" vertical="center"/>
    </xf>
    <xf numFmtId="0" fontId="53" fillId="22" borderId="2" applyAlignment="1" pivotButton="0" quotePrefix="0" xfId="0">
      <alignment horizontal="left" vertical="center"/>
    </xf>
    <xf numFmtId="167" fontId="44" fillId="22" borderId="2" applyAlignment="1" pivotButton="0" quotePrefix="0" xfId="0">
      <alignment horizontal="center" vertical="center"/>
    </xf>
    <xf numFmtId="167" fontId="55" fillId="22" borderId="2" applyAlignment="1" pivotButton="0" quotePrefix="0" xfId="0">
      <alignment horizontal="center" vertical="center"/>
    </xf>
    <xf numFmtId="4" fontId="44" fillId="22" borderId="2" applyAlignment="1" pivotButton="0" quotePrefix="0" xfId="0">
      <alignment horizontal="center" vertical="center"/>
    </xf>
    <xf numFmtId="3" fontId="45" fillId="22" borderId="2" applyAlignment="1" pivotButton="0" quotePrefix="0" xfId="0">
      <alignment horizontal="center" vertical="center"/>
    </xf>
    <xf numFmtId="167" fontId="55" fillId="10" borderId="2" applyAlignment="1" pivotButton="0" quotePrefix="0" xfId="0">
      <alignment horizontal="center" vertical="center"/>
    </xf>
    <xf numFmtId="0" fontId="44" fillId="24" borderId="2" applyAlignment="1" pivotButton="0" quotePrefix="0" xfId="0">
      <alignment horizontal="center" vertical="center"/>
    </xf>
    <xf numFmtId="0" fontId="53" fillId="24" borderId="2" applyAlignment="1" pivotButton="0" quotePrefix="0" xfId="0">
      <alignment horizontal="left" vertical="center"/>
    </xf>
    <xf numFmtId="167" fontId="44" fillId="24" borderId="2" applyAlignment="1" pivotButton="0" quotePrefix="0" xfId="0">
      <alignment horizontal="center" vertical="center"/>
    </xf>
    <xf numFmtId="167" fontId="56" fillId="24" borderId="2" applyAlignment="1" pivotButton="0" quotePrefix="0" xfId="0">
      <alignment horizontal="center" vertical="center"/>
    </xf>
    <xf numFmtId="4" fontId="44" fillId="24" borderId="2" applyAlignment="1" pivotButton="0" quotePrefix="0" xfId="0">
      <alignment horizontal="center" vertical="center"/>
    </xf>
    <xf numFmtId="3" fontId="45" fillId="24" borderId="2" applyAlignment="1" pivotButton="0" quotePrefix="0" xfId="0">
      <alignment horizontal="center" vertical="center"/>
    </xf>
    <xf numFmtId="167" fontId="56" fillId="10" borderId="2" applyAlignment="1" pivotButton="0" quotePrefix="0" xfId="0">
      <alignment horizontal="center" vertical="center"/>
    </xf>
    <xf numFmtId="0" fontId="44" fillId="26" borderId="2" applyAlignment="1" pivotButton="0" quotePrefix="0" xfId="0">
      <alignment horizontal="center" vertical="center"/>
    </xf>
    <xf numFmtId="0" fontId="53" fillId="26" borderId="2" applyAlignment="1" pivotButton="0" quotePrefix="0" xfId="0">
      <alignment horizontal="left" vertical="center"/>
    </xf>
    <xf numFmtId="167" fontId="44" fillId="26" borderId="2" applyAlignment="1" pivotButton="0" quotePrefix="0" xfId="0">
      <alignment horizontal="center" vertical="center"/>
    </xf>
    <xf numFmtId="167" fontId="57" fillId="26" borderId="2" applyAlignment="1" pivotButton="0" quotePrefix="0" xfId="0">
      <alignment horizontal="center" vertical="center"/>
    </xf>
    <xf numFmtId="4" fontId="44" fillId="26" borderId="2" applyAlignment="1" pivotButton="0" quotePrefix="0" xfId="0">
      <alignment horizontal="center" vertical="center"/>
    </xf>
    <xf numFmtId="3" fontId="45" fillId="26" borderId="2" applyAlignment="1" pivotButton="0" quotePrefix="0" xfId="0">
      <alignment horizontal="center" vertical="center"/>
    </xf>
    <xf numFmtId="167" fontId="57" fillId="10" borderId="2" applyAlignment="1" pivotButton="0" quotePrefix="0" xfId="0">
      <alignment horizontal="center" vertical="center"/>
    </xf>
    <xf numFmtId="0" fontId="44" fillId="28" borderId="2" applyAlignment="1" pivotButton="0" quotePrefix="0" xfId="0">
      <alignment horizontal="center" vertical="center"/>
    </xf>
    <xf numFmtId="0" fontId="53" fillId="28" borderId="2" applyAlignment="1" pivotButton="0" quotePrefix="0" xfId="0">
      <alignment horizontal="left" vertical="center"/>
    </xf>
    <xf numFmtId="167" fontId="44" fillId="28" borderId="2" applyAlignment="1" pivotButton="0" quotePrefix="0" xfId="0">
      <alignment horizontal="center" vertical="center"/>
    </xf>
    <xf numFmtId="167" fontId="58" fillId="28" borderId="2" applyAlignment="1" pivotButton="0" quotePrefix="0" xfId="0">
      <alignment horizontal="center" vertical="center"/>
    </xf>
    <xf numFmtId="4" fontId="44" fillId="28" borderId="2" applyAlignment="1" pivotButton="0" quotePrefix="0" xfId="0">
      <alignment horizontal="center" vertical="center"/>
    </xf>
    <xf numFmtId="3" fontId="45" fillId="28" borderId="2" applyAlignment="1" pivotButton="0" quotePrefix="0" xfId="0">
      <alignment horizontal="center" vertical="center"/>
    </xf>
    <xf numFmtId="167" fontId="58" fillId="10" borderId="2" applyAlignment="1" pivotButton="0" quotePrefix="0" xfId="0">
      <alignment horizontal="center" vertical="center"/>
    </xf>
    <xf numFmtId="0" fontId="44" fillId="18" borderId="2" applyAlignment="1" pivotButton="0" quotePrefix="0" xfId="0">
      <alignment horizontal="center" vertical="center"/>
    </xf>
    <xf numFmtId="0" fontId="53" fillId="18" borderId="2" applyAlignment="1" pivotButton="0" quotePrefix="0" xfId="0">
      <alignment horizontal="left" vertical="center"/>
    </xf>
    <xf numFmtId="167" fontId="44" fillId="18" borderId="2" applyAlignment="1" pivotButton="0" quotePrefix="0" xfId="0">
      <alignment horizontal="center" vertical="center"/>
    </xf>
    <xf numFmtId="167" fontId="59" fillId="18" borderId="2" applyAlignment="1" pivotButton="0" quotePrefix="0" xfId="0">
      <alignment horizontal="center" vertical="center"/>
    </xf>
    <xf numFmtId="4" fontId="44" fillId="18" borderId="2" applyAlignment="1" pivotButton="0" quotePrefix="0" xfId="0">
      <alignment horizontal="center" vertical="center"/>
    </xf>
    <xf numFmtId="3" fontId="45" fillId="18" borderId="2" applyAlignment="1" pivotButton="0" quotePrefix="0" xfId="0">
      <alignment horizontal="center" vertical="center"/>
    </xf>
    <xf numFmtId="167" fontId="59" fillId="10" borderId="2" applyAlignment="1" pivotButton="0" quotePrefix="0" xfId="0">
      <alignment horizontal="center" vertical="center"/>
    </xf>
    <xf numFmtId="0" fontId="44" fillId="31" borderId="2" applyAlignment="1" pivotButton="0" quotePrefix="0" xfId="0">
      <alignment horizontal="center" vertical="center"/>
    </xf>
    <xf numFmtId="0" fontId="53" fillId="31" borderId="2" applyAlignment="1" pivotButton="0" quotePrefix="0" xfId="0">
      <alignment horizontal="left" vertical="center"/>
    </xf>
    <xf numFmtId="167" fontId="44" fillId="31" borderId="2" applyAlignment="1" pivotButton="0" quotePrefix="0" xfId="0">
      <alignment horizontal="center" vertical="center"/>
    </xf>
    <xf numFmtId="167" fontId="60" fillId="31" borderId="2" applyAlignment="1" pivotButton="0" quotePrefix="0" xfId="0">
      <alignment horizontal="center" vertical="center"/>
    </xf>
    <xf numFmtId="4" fontId="44" fillId="31" borderId="2" applyAlignment="1" pivotButton="0" quotePrefix="0" xfId="0">
      <alignment horizontal="center" vertical="center"/>
    </xf>
    <xf numFmtId="3" fontId="45" fillId="31" borderId="2" applyAlignment="1" pivotButton="0" quotePrefix="0" xfId="0">
      <alignment horizontal="center" vertical="center"/>
    </xf>
    <xf numFmtId="167" fontId="60" fillId="10" borderId="2" applyAlignment="1" pivotButton="0" quotePrefix="0" xfId="0">
      <alignment horizontal="center" vertical="center"/>
    </xf>
    <xf numFmtId="0" fontId="61" fillId="42" borderId="2" applyAlignment="1" pivotButton="0" quotePrefix="0" xfId="0">
      <alignment horizontal="center" vertical="center"/>
    </xf>
    <xf numFmtId="0" fontId="45" fillId="42" borderId="2" applyAlignment="1" pivotButton="0" quotePrefix="0" xfId="0">
      <alignment horizontal="left" vertical="center"/>
    </xf>
    <xf numFmtId="0" fontId="61" fillId="42" borderId="2" applyAlignment="1" pivotButton="0" quotePrefix="0" xfId="0">
      <alignment horizontal="left" vertical="center"/>
    </xf>
    <xf numFmtId="0" fontId="61" fillId="42" borderId="2" applyAlignment="1" pivotButton="0" quotePrefix="0" xfId="0">
      <alignment horizontal="left" vertical="center" wrapText="1"/>
    </xf>
    <xf numFmtId="0" fontId="62" fillId="42" borderId="2" applyAlignment="1" pivotButton="0" quotePrefix="0" xfId="0">
      <alignment horizontal="center" vertical="center"/>
    </xf>
    <xf numFmtId="9" fontId="61" fillId="42" borderId="2" applyAlignment="1" pivotButton="0" quotePrefix="0" xfId="0">
      <alignment horizontal="center" vertical="center"/>
    </xf>
    <xf numFmtId="0" fontId="44" fillId="16" borderId="2" applyAlignment="1" pivotButton="0" quotePrefix="0" xfId="0">
      <alignment horizontal="center" vertical="center"/>
    </xf>
    <xf numFmtId="0" fontId="53" fillId="16" borderId="2" applyAlignment="1" pivotButton="0" quotePrefix="0" xfId="0">
      <alignment horizontal="left" vertical="center"/>
    </xf>
    <xf numFmtId="167" fontId="44" fillId="16" borderId="2" applyAlignment="1" pivotButton="0" quotePrefix="0" xfId="0">
      <alignment horizontal="center" vertical="center"/>
    </xf>
    <xf numFmtId="167" fontId="52" fillId="16" borderId="2" applyAlignment="1" pivotButton="0" quotePrefix="0" xfId="0">
      <alignment horizontal="center" vertical="center"/>
    </xf>
    <xf numFmtId="4" fontId="44" fillId="16" borderId="2" applyAlignment="1" pivotButton="0" quotePrefix="0" xfId="0">
      <alignment horizontal="center" vertical="center"/>
    </xf>
    <xf numFmtId="3" fontId="45" fillId="16" borderId="2" applyAlignment="1" pivotButton="0" quotePrefix="0" xfId="0">
      <alignment horizontal="center" vertical="center"/>
    </xf>
    <xf numFmtId="0" fontId="44" fillId="10" borderId="2" applyAlignment="1" pivotButton="0" quotePrefix="0" xfId="0">
      <alignment horizontal="center" vertical="center"/>
    </xf>
    <xf numFmtId="0" fontId="53" fillId="10" borderId="2" applyAlignment="1" pivotButton="0" quotePrefix="0" xfId="0">
      <alignment horizontal="left" vertical="center"/>
    </xf>
    <xf numFmtId="167" fontId="44" fillId="10" borderId="2" applyAlignment="1" pivotButton="0" quotePrefix="0" xfId="0">
      <alignment horizontal="center" vertical="center"/>
    </xf>
    <xf numFmtId="167" fontId="52" fillId="10" borderId="2" applyAlignment="1" pivotButton="0" quotePrefix="0" xfId="0">
      <alignment horizontal="center" vertical="center"/>
    </xf>
    <xf numFmtId="4" fontId="44" fillId="10" borderId="2" applyAlignment="1" pivotButton="0" quotePrefix="0" xfId="0">
      <alignment horizontal="center" vertical="center"/>
    </xf>
    <xf numFmtId="3" fontId="45" fillId="10" borderId="2" applyAlignment="1" pivotButton="0" quotePrefix="0" xfId="0">
      <alignment horizontal="center" vertical="center"/>
    </xf>
    <xf numFmtId="0" fontId="44" fillId="20" borderId="2" applyAlignment="1" pivotButton="0" quotePrefix="0" xfId="0">
      <alignment horizontal="center" vertical="center"/>
    </xf>
    <xf numFmtId="0" fontId="53" fillId="20" borderId="2" applyAlignment="1" pivotButton="0" quotePrefix="0" xfId="0">
      <alignment horizontal="left" vertical="center"/>
    </xf>
    <xf numFmtId="167" fontId="44" fillId="20" borderId="2" applyAlignment="1" pivotButton="0" quotePrefix="0" xfId="0">
      <alignment horizontal="center" vertical="center"/>
    </xf>
    <xf numFmtId="167" fontId="54" fillId="20" borderId="2" applyAlignment="1" pivotButton="0" quotePrefix="0" xfId="0">
      <alignment horizontal="center" vertical="center"/>
    </xf>
    <xf numFmtId="4" fontId="44" fillId="20" borderId="2" applyAlignment="1" pivotButton="0" quotePrefix="0" xfId="0">
      <alignment horizontal="center" vertical="center"/>
    </xf>
    <xf numFmtId="3" fontId="45" fillId="20" borderId="2" applyAlignment="1" pivotButton="0" quotePrefix="0" xfId="0">
      <alignment horizontal="center" vertical="center"/>
    </xf>
    <xf numFmtId="167" fontId="54" fillId="10" borderId="2" applyAlignment="1" pivotButton="0" quotePrefix="0" xfId="0">
      <alignment horizontal="center" vertical="center"/>
    </xf>
    <xf numFmtId="0" fontId="44" fillId="22" borderId="2" applyAlignment="1" pivotButton="0" quotePrefix="0" xfId="0">
      <alignment horizontal="center" vertical="center"/>
    </xf>
    <xf numFmtId="0" fontId="53" fillId="22" borderId="2" applyAlignment="1" pivotButton="0" quotePrefix="0" xfId="0">
      <alignment horizontal="left" vertical="center"/>
    </xf>
    <xf numFmtId="167" fontId="44" fillId="22" borderId="2" applyAlignment="1" pivotButton="0" quotePrefix="0" xfId="0">
      <alignment horizontal="center" vertical="center"/>
    </xf>
    <xf numFmtId="167" fontId="55" fillId="22" borderId="2" applyAlignment="1" pivotButton="0" quotePrefix="0" xfId="0">
      <alignment horizontal="center" vertical="center"/>
    </xf>
    <xf numFmtId="4" fontId="44" fillId="22" borderId="2" applyAlignment="1" pivotButton="0" quotePrefix="0" xfId="0">
      <alignment horizontal="center" vertical="center"/>
    </xf>
    <xf numFmtId="3" fontId="45" fillId="22" borderId="2" applyAlignment="1" pivotButton="0" quotePrefix="0" xfId="0">
      <alignment horizontal="center" vertical="center"/>
    </xf>
    <xf numFmtId="167" fontId="55" fillId="10" borderId="2" applyAlignment="1" pivotButton="0" quotePrefix="0" xfId="0">
      <alignment horizontal="center" vertical="center"/>
    </xf>
    <xf numFmtId="0" fontId="44" fillId="24" borderId="2" applyAlignment="1" pivotButton="0" quotePrefix="0" xfId="0">
      <alignment horizontal="center" vertical="center"/>
    </xf>
    <xf numFmtId="0" fontId="53" fillId="24" borderId="2" applyAlignment="1" pivotButton="0" quotePrefix="0" xfId="0">
      <alignment horizontal="left" vertical="center"/>
    </xf>
    <xf numFmtId="167" fontId="44" fillId="24" borderId="2" applyAlignment="1" pivotButton="0" quotePrefix="0" xfId="0">
      <alignment horizontal="center" vertical="center"/>
    </xf>
    <xf numFmtId="167" fontId="56" fillId="24" borderId="2" applyAlignment="1" pivotButton="0" quotePrefix="0" xfId="0">
      <alignment horizontal="center" vertical="center"/>
    </xf>
    <xf numFmtId="4" fontId="44" fillId="24" borderId="2" applyAlignment="1" pivotButton="0" quotePrefix="0" xfId="0">
      <alignment horizontal="center" vertical="center"/>
    </xf>
    <xf numFmtId="3" fontId="45" fillId="24" borderId="2" applyAlignment="1" pivotButton="0" quotePrefix="0" xfId="0">
      <alignment horizontal="center" vertical="center"/>
    </xf>
    <xf numFmtId="167" fontId="56" fillId="10" borderId="2" applyAlignment="1" pivotButton="0" quotePrefix="0" xfId="0">
      <alignment horizontal="center" vertical="center"/>
    </xf>
    <xf numFmtId="0" fontId="44" fillId="26" borderId="2" applyAlignment="1" pivotButton="0" quotePrefix="0" xfId="0">
      <alignment horizontal="center" vertical="center"/>
    </xf>
    <xf numFmtId="0" fontId="53" fillId="26" borderId="2" applyAlignment="1" pivotButton="0" quotePrefix="0" xfId="0">
      <alignment horizontal="left" vertical="center"/>
    </xf>
    <xf numFmtId="167" fontId="44" fillId="26" borderId="2" applyAlignment="1" pivotButton="0" quotePrefix="0" xfId="0">
      <alignment horizontal="center" vertical="center"/>
    </xf>
    <xf numFmtId="167" fontId="57" fillId="26" borderId="2" applyAlignment="1" pivotButton="0" quotePrefix="0" xfId="0">
      <alignment horizontal="center" vertical="center"/>
    </xf>
    <xf numFmtId="4" fontId="44" fillId="26" borderId="2" applyAlignment="1" pivotButton="0" quotePrefix="0" xfId="0">
      <alignment horizontal="center" vertical="center"/>
    </xf>
    <xf numFmtId="3" fontId="45" fillId="26" borderId="2" applyAlignment="1" pivotButton="0" quotePrefix="0" xfId="0">
      <alignment horizontal="center" vertical="center"/>
    </xf>
    <xf numFmtId="167" fontId="57" fillId="10" borderId="2" applyAlignment="1" pivotButton="0" quotePrefix="0" xfId="0">
      <alignment horizontal="center" vertical="center"/>
    </xf>
    <xf numFmtId="0" fontId="44" fillId="28" borderId="2" applyAlignment="1" pivotButton="0" quotePrefix="0" xfId="0">
      <alignment horizontal="center" vertical="center"/>
    </xf>
    <xf numFmtId="0" fontId="53" fillId="28" borderId="2" applyAlignment="1" pivotButton="0" quotePrefix="0" xfId="0">
      <alignment horizontal="left" vertical="center"/>
    </xf>
    <xf numFmtId="167" fontId="44" fillId="28" borderId="2" applyAlignment="1" pivotButton="0" quotePrefix="0" xfId="0">
      <alignment horizontal="center" vertical="center"/>
    </xf>
    <xf numFmtId="167" fontId="58" fillId="28" borderId="2" applyAlignment="1" pivotButton="0" quotePrefix="0" xfId="0">
      <alignment horizontal="center" vertical="center"/>
    </xf>
    <xf numFmtId="4" fontId="44" fillId="28" borderId="2" applyAlignment="1" pivotButton="0" quotePrefix="0" xfId="0">
      <alignment horizontal="center" vertical="center"/>
    </xf>
    <xf numFmtId="3" fontId="45" fillId="28" borderId="2" applyAlignment="1" pivotButton="0" quotePrefix="0" xfId="0">
      <alignment horizontal="center" vertical="center"/>
    </xf>
    <xf numFmtId="167" fontId="58" fillId="10" borderId="2" applyAlignment="1" pivotButton="0" quotePrefix="0" xfId="0">
      <alignment horizontal="center" vertical="center"/>
    </xf>
    <xf numFmtId="0" fontId="44" fillId="18" borderId="2" applyAlignment="1" pivotButton="0" quotePrefix="0" xfId="0">
      <alignment horizontal="center" vertical="center"/>
    </xf>
    <xf numFmtId="0" fontId="53" fillId="18" borderId="2" applyAlignment="1" pivotButton="0" quotePrefix="0" xfId="0">
      <alignment horizontal="left" vertical="center"/>
    </xf>
    <xf numFmtId="167" fontId="44" fillId="18" borderId="2" applyAlignment="1" pivotButton="0" quotePrefix="0" xfId="0">
      <alignment horizontal="center" vertical="center"/>
    </xf>
    <xf numFmtId="167" fontId="59" fillId="18" borderId="2" applyAlignment="1" pivotButton="0" quotePrefix="0" xfId="0">
      <alignment horizontal="center" vertical="center"/>
    </xf>
    <xf numFmtId="4" fontId="44" fillId="18" borderId="2" applyAlignment="1" pivotButton="0" quotePrefix="0" xfId="0">
      <alignment horizontal="center" vertical="center"/>
    </xf>
    <xf numFmtId="3" fontId="45" fillId="18" borderId="2" applyAlignment="1" pivotButton="0" quotePrefix="0" xfId="0">
      <alignment horizontal="center" vertical="center"/>
    </xf>
    <xf numFmtId="167" fontId="59" fillId="10" borderId="2" applyAlignment="1" pivotButton="0" quotePrefix="0" xfId="0">
      <alignment horizontal="center" vertical="center"/>
    </xf>
    <xf numFmtId="0" fontId="44" fillId="31" borderId="2" applyAlignment="1" pivotButton="0" quotePrefix="0" xfId="0">
      <alignment horizontal="center" vertical="center"/>
    </xf>
    <xf numFmtId="0" fontId="53" fillId="31" borderId="2" applyAlignment="1" pivotButton="0" quotePrefix="0" xfId="0">
      <alignment horizontal="left" vertical="center"/>
    </xf>
    <xf numFmtId="167" fontId="44" fillId="31" borderId="2" applyAlignment="1" pivotButton="0" quotePrefix="0" xfId="0">
      <alignment horizontal="center" vertical="center"/>
    </xf>
    <xf numFmtId="167" fontId="60" fillId="31" borderId="2" applyAlignment="1" pivotButton="0" quotePrefix="0" xfId="0">
      <alignment horizontal="center" vertical="center"/>
    </xf>
    <xf numFmtId="4" fontId="44" fillId="31" borderId="2" applyAlignment="1" pivotButton="0" quotePrefix="0" xfId="0">
      <alignment horizontal="center" vertical="center"/>
    </xf>
    <xf numFmtId="3" fontId="45" fillId="31" borderId="2" applyAlignment="1" pivotButton="0" quotePrefix="0" xfId="0">
      <alignment horizontal="center" vertical="center"/>
    </xf>
    <xf numFmtId="167" fontId="60" fillId="10" borderId="2" applyAlignment="1" pivotButton="0" quotePrefix="0" xfId="0">
      <alignment horizontal="center" vertical="center"/>
    </xf>
    <xf numFmtId="0" fontId="44" fillId="16" borderId="2" applyAlignment="1" pivotButton="0" quotePrefix="0" xfId="0">
      <alignment horizontal="center" vertical="center"/>
    </xf>
    <xf numFmtId="0" fontId="53" fillId="16" borderId="2" applyAlignment="1" pivotButton="0" quotePrefix="0" xfId="0">
      <alignment horizontal="left" vertical="center"/>
    </xf>
    <xf numFmtId="167" fontId="44" fillId="16" borderId="2" applyAlignment="1" pivotButton="0" quotePrefix="0" xfId="0">
      <alignment horizontal="center" vertical="center"/>
    </xf>
    <xf numFmtId="167" fontId="52" fillId="16" borderId="2" applyAlignment="1" pivotButton="0" quotePrefix="0" xfId="0">
      <alignment horizontal="center" vertical="center"/>
    </xf>
    <xf numFmtId="4" fontId="44" fillId="16" borderId="2" applyAlignment="1" pivotButton="0" quotePrefix="0" xfId="0">
      <alignment horizontal="center" vertical="center"/>
    </xf>
    <xf numFmtId="3" fontId="45" fillId="16" borderId="2" applyAlignment="1" pivotButton="0" quotePrefix="0" xfId="0">
      <alignment horizontal="center" vertical="center"/>
    </xf>
    <xf numFmtId="0" fontId="44" fillId="10" borderId="2" applyAlignment="1" pivotButton="0" quotePrefix="0" xfId="0">
      <alignment horizontal="center" vertical="center"/>
    </xf>
    <xf numFmtId="0" fontId="53" fillId="10" borderId="2" applyAlignment="1" pivotButton="0" quotePrefix="0" xfId="0">
      <alignment horizontal="left" vertical="center"/>
    </xf>
    <xf numFmtId="167" fontId="44" fillId="10" borderId="2" applyAlignment="1" pivotButton="0" quotePrefix="0" xfId="0">
      <alignment horizontal="center" vertical="center"/>
    </xf>
    <xf numFmtId="167" fontId="52" fillId="10" borderId="2" applyAlignment="1" pivotButton="0" quotePrefix="0" xfId="0">
      <alignment horizontal="center" vertical="center"/>
    </xf>
    <xf numFmtId="4" fontId="44" fillId="10" borderId="2" applyAlignment="1" pivotButton="0" quotePrefix="0" xfId="0">
      <alignment horizontal="center" vertical="center"/>
    </xf>
    <xf numFmtId="3" fontId="45" fillId="10" borderId="2" applyAlignment="1" pivotButton="0" quotePrefix="0" xfId="0">
      <alignment horizontal="center" vertical="center"/>
    </xf>
    <xf numFmtId="0" fontId="44" fillId="20" borderId="2" applyAlignment="1" pivotButton="0" quotePrefix="0" xfId="0">
      <alignment horizontal="center" vertical="center"/>
    </xf>
    <xf numFmtId="0" fontId="53" fillId="20" borderId="2" applyAlignment="1" pivotButton="0" quotePrefix="0" xfId="0">
      <alignment horizontal="left" vertical="center"/>
    </xf>
    <xf numFmtId="167" fontId="44" fillId="20" borderId="2" applyAlignment="1" pivotButton="0" quotePrefix="0" xfId="0">
      <alignment horizontal="center" vertical="center"/>
    </xf>
    <xf numFmtId="167" fontId="54" fillId="20" borderId="2" applyAlignment="1" pivotButton="0" quotePrefix="0" xfId="0">
      <alignment horizontal="center" vertical="center"/>
    </xf>
    <xf numFmtId="4" fontId="44" fillId="20" borderId="2" applyAlignment="1" pivotButton="0" quotePrefix="0" xfId="0">
      <alignment horizontal="center" vertical="center"/>
    </xf>
    <xf numFmtId="3" fontId="45" fillId="20" borderId="2" applyAlignment="1" pivotButton="0" quotePrefix="0" xfId="0">
      <alignment horizontal="center" vertical="center"/>
    </xf>
    <xf numFmtId="167" fontId="54" fillId="10" borderId="2" applyAlignment="1" pivotButton="0" quotePrefix="0" xfId="0">
      <alignment horizontal="center" vertical="center"/>
    </xf>
    <xf numFmtId="0" fontId="44" fillId="22" borderId="2" applyAlignment="1" pivotButton="0" quotePrefix="0" xfId="0">
      <alignment horizontal="center" vertical="center"/>
    </xf>
    <xf numFmtId="0" fontId="53" fillId="22" borderId="2" applyAlignment="1" pivotButton="0" quotePrefix="0" xfId="0">
      <alignment horizontal="left" vertical="center"/>
    </xf>
    <xf numFmtId="167" fontId="44" fillId="22" borderId="2" applyAlignment="1" pivotButton="0" quotePrefix="0" xfId="0">
      <alignment horizontal="center" vertical="center"/>
    </xf>
    <xf numFmtId="167" fontId="55" fillId="22" borderId="2" applyAlignment="1" pivotButton="0" quotePrefix="0" xfId="0">
      <alignment horizontal="center" vertical="center"/>
    </xf>
    <xf numFmtId="4" fontId="44" fillId="22" borderId="2" applyAlignment="1" pivotButton="0" quotePrefix="0" xfId="0">
      <alignment horizontal="center" vertical="center"/>
    </xf>
    <xf numFmtId="3" fontId="45" fillId="22" borderId="2" applyAlignment="1" pivotButton="0" quotePrefix="0" xfId="0">
      <alignment horizontal="center" vertical="center"/>
    </xf>
    <xf numFmtId="167" fontId="55" fillId="10" borderId="2" applyAlignment="1" pivotButton="0" quotePrefix="0" xfId="0">
      <alignment horizontal="center" vertical="center"/>
    </xf>
    <xf numFmtId="0" fontId="44" fillId="24" borderId="2" applyAlignment="1" pivotButton="0" quotePrefix="0" xfId="0">
      <alignment horizontal="center" vertical="center"/>
    </xf>
    <xf numFmtId="0" fontId="53" fillId="24" borderId="2" applyAlignment="1" pivotButton="0" quotePrefix="0" xfId="0">
      <alignment horizontal="left" vertical="center"/>
    </xf>
    <xf numFmtId="167" fontId="44" fillId="24" borderId="2" applyAlignment="1" pivotButton="0" quotePrefix="0" xfId="0">
      <alignment horizontal="center" vertical="center"/>
    </xf>
    <xf numFmtId="167" fontId="56" fillId="24" borderId="2" applyAlignment="1" pivotButton="0" quotePrefix="0" xfId="0">
      <alignment horizontal="center" vertical="center"/>
    </xf>
    <xf numFmtId="4" fontId="44" fillId="24" borderId="2" applyAlignment="1" pivotButton="0" quotePrefix="0" xfId="0">
      <alignment horizontal="center" vertical="center"/>
    </xf>
    <xf numFmtId="3" fontId="45" fillId="24" borderId="2" applyAlignment="1" pivotButton="0" quotePrefix="0" xfId="0">
      <alignment horizontal="center" vertical="center"/>
    </xf>
    <xf numFmtId="167" fontId="56" fillId="10" borderId="2" applyAlignment="1" pivotButton="0" quotePrefix="0" xfId="0">
      <alignment horizontal="center" vertical="center"/>
    </xf>
    <xf numFmtId="0" fontId="44" fillId="26" borderId="2" applyAlignment="1" pivotButton="0" quotePrefix="0" xfId="0">
      <alignment horizontal="center" vertical="center"/>
    </xf>
    <xf numFmtId="0" fontId="53" fillId="26" borderId="2" applyAlignment="1" pivotButton="0" quotePrefix="0" xfId="0">
      <alignment horizontal="left" vertical="center"/>
    </xf>
    <xf numFmtId="167" fontId="44" fillId="26" borderId="2" applyAlignment="1" pivotButton="0" quotePrefix="0" xfId="0">
      <alignment horizontal="center" vertical="center"/>
    </xf>
    <xf numFmtId="167" fontId="57" fillId="26" borderId="2" applyAlignment="1" pivotButton="0" quotePrefix="0" xfId="0">
      <alignment horizontal="center" vertical="center"/>
    </xf>
    <xf numFmtId="4" fontId="44" fillId="26" borderId="2" applyAlignment="1" pivotButton="0" quotePrefix="0" xfId="0">
      <alignment horizontal="center" vertical="center"/>
    </xf>
    <xf numFmtId="3" fontId="45" fillId="26" borderId="2" applyAlignment="1" pivotButton="0" quotePrefix="0" xfId="0">
      <alignment horizontal="center" vertical="center"/>
    </xf>
    <xf numFmtId="167" fontId="57" fillId="10" borderId="2" applyAlignment="1" pivotButton="0" quotePrefix="0" xfId="0">
      <alignment horizontal="center" vertical="center"/>
    </xf>
    <xf numFmtId="0" fontId="44" fillId="28" borderId="2" applyAlignment="1" pivotButton="0" quotePrefix="0" xfId="0">
      <alignment horizontal="center" vertical="center"/>
    </xf>
    <xf numFmtId="0" fontId="53" fillId="28" borderId="2" applyAlignment="1" pivotButton="0" quotePrefix="0" xfId="0">
      <alignment horizontal="left" vertical="center"/>
    </xf>
    <xf numFmtId="167" fontId="44" fillId="28" borderId="2" applyAlignment="1" pivotButton="0" quotePrefix="0" xfId="0">
      <alignment horizontal="center" vertical="center"/>
    </xf>
    <xf numFmtId="167" fontId="58" fillId="28" borderId="2" applyAlignment="1" pivotButton="0" quotePrefix="0" xfId="0">
      <alignment horizontal="center" vertical="center"/>
    </xf>
    <xf numFmtId="4" fontId="44" fillId="28" borderId="2" applyAlignment="1" pivotButton="0" quotePrefix="0" xfId="0">
      <alignment horizontal="center" vertical="center"/>
    </xf>
    <xf numFmtId="3" fontId="45" fillId="28" borderId="2" applyAlignment="1" pivotButton="0" quotePrefix="0" xfId="0">
      <alignment horizontal="center" vertical="center"/>
    </xf>
    <xf numFmtId="167" fontId="58" fillId="10" borderId="2" applyAlignment="1" pivotButton="0" quotePrefix="0" xfId="0">
      <alignment horizontal="center" vertical="center"/>
    </xf>
    <xf numFmtId="0" fontId="44" fillId="18" borderId="2" applyAlignment="1" pivotButton="0" quotePrefix="0" xfId="0">
      <alignment horizontal="center" vertical="center"/>
    </xf>
    <xf numFmtId="0" fontId="53" fillId="18" borderId="2" applyAlignment="1" pivotButton="0" quotePrefix="0" xfId="0">
      <alignment horizontal="left" vertical="center"/>
    </xf>
    <xf numFmtId="167" fontId="44" fillId="18" borderId="2" applyAlignment="1" pivotButton="0" quotePrefix="0" xfId="0">
      <alignment horizontal="center" vertical="center"/>
    </xf>
    <xf numFmtId="167" fontId="59" fillId="18" borderId="2" applyAlignment="1" pivotButton="0" quotePrefix="0" xfId="0">
      <alignment horizontal="center" vertical="center"/>
    </xf>
    <xf numFmtId="4" fontId="44" fillId="18" borderId="2" applyAlignment="1" pivotButton="0" quotePrefix="0" xfId="0">
      <alignment horizontal="center" vertical="center"/>
    </xf>
    <xf numFmtId="3" fontId="45" fillId="18" borderId="2" applyAlignment="1" pivotButton="0" quotePrefix="0" xfId="0">
      <alignment horizontal="center" vertical="center"/>
    </xf>
    <xf numFmtId="167" fontId="59" fillId="10" borderId="2" applyAlignment="1" pivotButton="0" quotePrefix="0" xfId="0">
      <alignment horizontal="center" vertical="center"/>
    </xf>
    <xf numFmtId="0" fontId="44" fillId="31" borderId="2" applyAlignment="1" pivotButton="0" quotePrefix="0" xfId="0">
      <alignment horizontal="center" vertical="center"/>
    </xf>
    <xf numFmtId="0" fontId="53" fillId="31" borderId="2" applyAlignment="1" pivotButton="0" quotePrefix="0" xfId="0">
      <alignment horizontal="left" vertical="center"/>
    </xf>
    <xf numFmtId="167" fontId="44" fillId="31" borderId="2" applyAlignment="1" pivotButton="0" quotePrefix="0" xfId="0">
      <alignment horizontal="center" vertical="center"/>
    </xf>
    <xf numFmtId="167" fontId="60" fillId="31" borderId="2" applyAlignment="1" pivotButton="0" quotePrefix="0" xfId="0">
      <alignment horizontal="center" vertical="center"/>
    </xf>
    <xf numFmtId="4" fontId="44" fillId="31" borderId="2" applyAlignment="1" pivotButton="0" quotePrefix="0" xfId="0">
      <alignment horizontal="center" vertical="center"/>
    </xf>
    <xf numFmtId="3" fontId="45" fillId="31" borderId="2" applyAlignment="1" pivotButton="0" quotePrefix="0" xfId="0">
      <alignment horizontal="center" vertical="center"/>
    </xf>
    <xf numFmtId="167" fontId="60" fillId="10" borderId="2" applyAlignment="1" pivotButton="0" quotePrefix="0" xfId="0">
      <alignment horizontal="center" vertical="center"/>
    </xf>
    <xf numFmtId="0" fontId="63" fillId="32" borderId="0" applyAlignment="1" pivotButton="0" quotePrefix="0" xfId="0">
      <alignment horizontal="center" vertical="center"/>
    </xf>
    <xf numFmtId="0" fontId="64" fillId="43" borderId="8" applyAlignment="1" pivotButton="0" quotePrefix="0" xfId="0">
      <alignment horizontal="center" vertical="center" wrapText="1"/>
    </xf>
    <xf numFmtId="0" fontId="65" fillId="34" borderId="9" applyAlignment="1" pivotButton="0" quotePrefix="0" xfId="0">
      <alignment horizontal="left" vertical="center" indent="1"/>
    </xf>
    <xf numFmtId="0" fontId="66" fillId="16" borderId="8" applyAlignment="1" pivotButton="0" quotePrefix="0" xfId="0">
      <alignment horizontal="center" vertical="center" wrapText="1"/>
    </xf>
    <xf numFmtId="0" fontId="67" fillId="10" borderId="8" applyAlignment="1" pivotButton="0" quotePrefix="0" xfId="0">
      <alignment horizontal="center" vertical="center"/>
    </xf>
    <xf numFmtId="0" fontId="67" fillId="20" borderId="8" applyAlignment="1" pivotButton="0" quotePrefix="0" xfId="0">
      <alignment horizontal="center" vertical="center"/>
    </xf>
    <xf numFmtId="0" fontId="68" fillId="14" borderId="0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EFF2F5"/>
        </patternFill>
      </fill>
    </dxf>
    <dxf>
      <fill>
        <patternFill>
          <bgColor rgb="FFFFF3C4"/>
        </patternFill>
      </fill>
    </dxf>
    <dxf>
      <fill>
        <patternFill>
          <bgColor rgb="FFC7EFCF"/>
        </patternFill>
      </fill>
    </dxf>
    <dxf>
      <fill>
        <patternFill>
          <bgColor rgb="FFFFCFC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6689"/>
      <rgbColor rgb="FFCBE5AC"/>
      <rgbColor rgb="FF808080"/>
      <rgbColor rgb="FF9999FF"/>
      <rgbColor rgb="FF993366"/>
      <rgbColor rgb="FFFFFBD2"/>
      <rgbColor rgb="FFECF7EE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2F5"/>
      <rgbColor rgb="FFC7EFCF"/>
      <rgbColor rgb="FFFFF3C4"/>
      <rgbColor rgb="FFFFEFD8"/>
      <rgbColor rgb="FFFF99CC"/>
      <rgbColor rgb="FFCC99FF"/>
      <rgbColor rgb="FFFFCFCF"/>
      <rgbColor rgb="FF3366FF"/>
      <rgbColor rgb="FF33CCCC"/>
      <rgbColor rgb="FF99CC00"/>
      <rgbColor rgb="FFFFCC00"/>
      <rgbColor rgb="FFFF9C31"/>
      <rgbColor rgb="FFFF6600"/>
      <rgbColor rgb="FF6B7280"/>
      <rgbColor rgb="FF6DBC74"/>
      <rgbColor rgb="FF003366"/>
      <rgbColor rgb="FF339966"/>
      <rgbColor rgb="FF003300"/>
      <rgbColor rgb="FF333300"/>
      <rgbColor rgb="FF993300"/>
      <rgbColor rgb="FF993366"/>
      <rgbColor rgb="FF333399"/>
      <rgbColor rgb="FF1F2A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1B4332"/>
    <outlinePr summaryBelow="1" summaryRight="1"/>
    <pageSetUpPr fitToPage="0"/>
  </sheetPr>
  <dimension ref="B2:E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60" min="1" max="1"/>
    <col width="28" customWidth="1" style="60" min="2" max="2"/>
    <col width="22" customWidth="1" style="60" min="3" max="6"/>
  </cols>
  <sheetData>
    <row r="2" ht="38.6" customHeight="1" s="61">
      <c r="B2" s="62" t="inlineStr">
        <is>
          <t>Better Juice</t>
        </is>
      </c>
    </row>
    <row r="3" ht="17.35" customHeight="1" s="61">
      <c r="B3" s="63" t="inlineStr">
        <is>
          <t>Fuel Your Better.</t>
        </is>
      </c>
    </row>
    <row r="4" ht="15" customHeight="1" s="61">
      <c r="B4" s="64" t="inlineStr">
        <is>
          <t>Lean Tracker · ทำน้อยได้มาก · Updated 20 May 2026</t>
        </is>
      </c>
    </row>
    <row r="6" ht="17.35" customHeight="1" s="61">
      <c r="B6" s="65" t="inlineStr">
        <is>
          <t>📅 Key Dates</t>
        </is>
      </c>
      <c r="E6" s="65" t="inlineStr">
        <is>
          <t>💡 ทำน้อยได้มาก</t>
        </is>
      </c>
    </row>
    <row r="7" ht="35.05" customHeight="1" s="61">
      <c r="B7" s="66" t="inlineStr">
        <is>
          <t>🚀 Soft Open</t>
        </is>
      </c>
      <c r="C7" s="67" t="inlineStr">
        <is>
          <t>13 พ.ค. 2026</t>
        </is>
      </c>
      <c r="D7" s="64" t="inlineStr">
        <is>
          <t>Day 1 — invite-only</t>
        </is>
      </c>
      <c r="E7" s="68" t="inlineStr">
        <is>
          <t>• ทุกเช้า (5 นาที): เปิด This Week — เช็คงานที่ต้องทำ</t>
        </is>
      </c>
    </row>
    <row r="8" ht="35.05" customHeight="1" s="61">
      <c r="B8" s="66" t="inlineStr">
        <is>
          <t>🎉 Grand Open</t>
        </is>
      </c>
      <c r="C8" s="67" t="inlineStr">
        <is>
          <t>28 พ.ค. 2026</t>
        </is>
      </c>
      <c r="D8" s="64" t="inlineStr">
        <is>
          <t>Public + Marketing push</t>
        </is>
      </c>
      <c r="E8" s="68" t="inlineStr">
        <is>
          <t>• ทุกเย็นปิดร้าน (3 นาที): กรอก Daily Log — แค่ 8 ช่อง</t>
        </is>
      </c>
    </row>
    <row r="9" ht="35.05" customHeight="1" s="61">
      <c r="B9" s="66" t="inlineStr">
        <is>
          <t>Soft Period</t>
        </is>
      </c>
      <c r="C9" s="67" t="inlineStr">
        <is>
          <t>13-27 พ.ค.</t>
        </is>
      </c>
      <c r="D9" s="64" t="inlineStr">
        <is>
          <t>3 สัปดาห์ iterate</t>
        </is>
      </c>
      <c r="E9" s="68" t="inlineStr">
        <is>
          <t>• ทุกจันทร์ (10 นาที): ดู Home dashboard — ปรับ This Week</t>
        </is>
      </c>
    </row>
    <row r="10" ht="35.05" customHeight="1" s="61">
      <c r="E10" s="68" t="inlineStr">
        <is>
          <t>• ทุกเดือน (30 นาที): ดู P&amp;L แยก, update Suppliers scorecard</t>
        </is>
      </c>
    </row>
    <row r="11" ht="46.25" customHeight="1" s="61">
      <c r="B11" s="65" t="inlineStr">
        <is>
          <t>📊 Snapshot (auto from Daily Log)</t>
        </is>
      </c>
      <c r="E11" s="68" t="inlineStr">
        <is>
          <t>• ไฟล์อื่น (Recipe Book) เปิดเมื่อต้องการสูตร — ไม่ใช่ทุกวัน</t>
        </is>
      </c>
    </row>
    <row r="12" ht="17.35" customHeight="1" s="61">
      <c r="B12" s="69" t="inlineStr">
        <is>
          <t>ลูกค้ารวม (7 วันล่าสุด)</t>
        </is>
      </c>
      <c r="C12" s="70">
        <f>IFERROR(SUM(OFFSET('📅 Daily'!B2,COUNTA('📅 Daily'!A:A)-8,0,7,1)),0)</f>
        <v/>
      </c>
    </row>
    <row r="13" ht="17.9" customHeight="1" s="61">
      <c r="B13" s="69" t="inlineStr">
        <is>
          <t>Revenue 7 วัน ฿</t>
        </is>
      </c>
      <c r="C13" s="71">
        <f>IFERROR(SUM(OFFSET('📅 Daily'!D2,COUNTA('📅 Daily'!A:A)-8,0,7,1)),0)</f>
        <v/>
      </c>
    </row>
    <row r="14" ht="17.9" customHeight="1" s="61">
      <c r="B14" s="69" t="inlineStr">
        <is>
          <t>Avg ticket ฿</t>
        </is>
      </c>
      <c r="C14" s="71">
        <f>IFERROR(B13/B12,0)</f>
        <v/>
      </c>
    </row>
    <row r="15" ht="17.35" customHeight="1" s="61">
      <c r="B15" s="69" t="inlineStr">
        <is>
          <t>Waste % avg</t>
        </is>
      </c>
      <c r="C15" s="72">
        <f>IFERROR(AVERAGE(OFFSET('📅 Daily'!G2,COUNTA('📅 Daily'!A:A)-8,0,7,1)),0)</f>
        <v/>
      </c>
    </row>
    <row r="16" ht="17.35" customHeight="1" s="61">
      <c r="B16" s="69" t="inlineStr">
        <is>
          <t>New members 7 วัน</t>
        </is>
      </c>
      <c r="C16" s="70">
        <f>IFERROR(SUM(OFFSET('📅 Daily'!H2,COUNTA('📅 Daily'!A:A)-8,0,7,1)),0)</f>
        <v/>
      </c>
    </row>
    <row r="17" ht="17.35" customHeight="1" s="61">
      <c r="B17" s="69" t="inlineStr">
        <is>
          <t>Complaints 7 วัน</t>
        </is>
      </c>
      <c r="C17" s="70">
        <f>IFERROR(SUM(OFFSET('📅 Daily'!I2,COUNTA('📅 Daily'!A:A)-8,0,7,1)),0)</f>
        <v/>
      </c>
    </row>
    <row r="19" ht="17.35" customHeight="1" s="61">
      <c r="B19" s="65" t="inlineStr">
        <is>
          <t>🎯 Targets</t>
        </is>
      </c>
    </row>
    <row r="20" ht="15" customHeight="1" s="61">
      <c r="B20" s="73" t="inlineStr">
        <is>
          <t>Break-even/วัน</t>
        </is>
      </c>
      <c r="C20" s="74" t="inlineStr">
        <is>
          <t>42 คน</t>
        </is>
      </c>
    </row>
    <row r="21" ht="15" customHeight="1" s="61">
      <c r="B21" s="73" t="inlineStr">
        <is>
          <t>เป้าเดือน 1</t>
        </is>
      </c>
      <c r="C21" s="74" t="inlineStr">
        <is>
          <t>140-180/วัน</t>
        </is>
      </c>
    </row>
    <row r="22" ht="15" customHeight="1" s="61">
      <c r="B22" s="73" t="inlineStr">
        <is>
          <t>เป้าเดือน 6</t>
        </is>
      </c>
      <c r="C22" s="74" t="inlineStr">
        <is>
          <t>220-280/วัน</t>
        </is>
      </c>
    </row>
    <row r="23" ht="15" customHeight="1" s="61">
      <c r="B23" s="73" t="inlineStr">
        <is>
          <t>Avg ticket</t>
        </is>
      </c>
      <c r="C23" s="74" t="inlineStr">
        <is>
          <t>120 ฿</t>
        </is>
      </c>
    </row>
    <row r="24" ht="15" customHeight="1" s="61">
      <c r="B24" s="73" t="inlineStr">
        <is>
          <t>Waste target</t>
        </is>
      </c>
      <c r="C24" s="74" t="inlineStr">
        <is>
          <t>≤ 5%</t>
        </is>
      </c>
    </row>
    <row r="25" ht="15" customHeight="1" s="61">
      <c r="B25" s="73" t="inlineStr">
        <is>
          <t>NPS</t>
        </is>
      </c>
      <c r="C25" s="74" t="inlineStr">
        <is>
          <t>≥ 60</t>
        </is>
      </c>
    </row>
    <row r="28" ht="17.35" customHeight="1" s="61">
      <c r="B28" s="65" t="inlineStr">
        <is>
          <t>📂 ชีตในไฟล์นี้</t>
        </is>
      </c>
    </row>
    <row r="29" ht="15" customHeight="1" s="61">
      <c r="B29" s="75" t="inlineStr">
        <is>
          <t>📅 Daily</t>
        </is>
      </c>
      <c r="C29" s="76" t="inlineStr">
        <is>
          <t>กรอกตอนปิดร้านทุกวัน (3 นาที)</t>
        </is>
      </c>
      <c r="D29" s="77" t="n"/>
    </row>
    <row r="30" ht="15" customHeight="1" s="61">
      <c r="B30" s="78" t="inlineStr">
        <is>
          <t>🥤 Menu</t>
        </is>
      </c>
      <c r="C30" s="79" t="inlineStr">
        <is>
          <t>26 SKU + ราคา + ต้นทุน · reference</t>
        </is>
      </c>
      <c r="D30" s="80" t="n"/>
    </row>
    <row r="31" ht="15" customHeight="1" s="61">
      <c r="B31" s="75" t="inlineStr">
        <is>
          <t>✅ This Week</t>
        </is>
      </c>
      <c r="C31" s="76" t="inlineStr">
        <is>
          <t>งานสัปดาห์นี้ · เช็คทุกเช้า</t>
        </is>
      </c>
      <c r="D31" s="77" t="n"/>
    </row>
    <row r="32" ht="15" customHeight="1" s="61">
      <c r="B32" s="78" t="inlineStr">
        <is>
          <t>👥 Team</t>
        </is>
      </c>
      <c r="C32" s="79" t="inlineStr">
        <is>
          <t>พนักงาน + กะ · update เดือนละ 1</t>
        </is>
      </c>
      <c r="D32" s="80" t="n"/>
    </row>
    <row r="33" ht="15" customHeight="1" s="61">
      <c r="B33" s="75" t="inlineStr">
        <is>
          <t>🛒 Suppliers</t>
        </is>
      </c>
      <c r="C33" s="76" t="inlineStr">
        <is>
          <t>ผู้ขาย + scorecard · review รายเดือน</t>
        </is>
      </c>
      <c r="D33" s="7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2D6A4F"/>
    <outlinePr summaryBelow="1" summaryRight="1"/>
    <pageSetUpPr fitToPage="0"/>
  </sheetPr>
  <dimension ref="A1:L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60" min="1" max="1"/>
    <col width="9" customWidth="1" style="60" min="2" max="3"/>
    <col width="13" customWidth="1" style="60" min="4" max="5"/>
    <col width="22" customWidth="1" style="60" min="6" max="6"/>
    <col width="10" customWidth="1" style="60" min="7" max="7"/>
    <col width="11" customWidth="1" style="60" min="8" max="8"/>
    <col width="12" customWidth="1" style="60" min="9" max="9"/>
    <col width="30" customWidth="1" style="60" min="10" max="10"/>
  </cols>
  <sheetData>
    <row r="1" ht="31.5" customHeight="1" s="61">
      <c r="A1" s="81" t="inlineStr">
        <is>
          <t>วันที่</t>
        </is>
      </c>
      <c r="B1" s="81" t="inlineStr">
        <is>
          <t>ลูกค้า</t>
        </is>
      </c>
      <c r="C1" s="81" t="inlineStr">
        <is>
          <t>Trans.</t>
        </is>
      </c>
      <c r="D1" s="81" t="inlineStr">
        <is>
          <t>Revenue ฿</t>
        </is>
      </c>
      <c r="E1" s="81" t="inlineStr">
        <is>
          <t>Avg ticket ฿</t>
        </is>
      </c>
      <c r="F1" s="81" t="inlineStr">
        <is>
          <t>Top SKU</t>
        </is>
      </c>
      <c r="G1" s="81" t="inlineStr">
        <is>
          <t>Waste %</t>
        </is>
      </c>
      <c r="H1" s="81" t="inlineStr">
        <is>
          <t>New mem.</t>
        </is>
      </c>
      <c r="I1" s="81" t="inlineStr">
        <is>
          <t>Complaints</t>
        </is>
      </c>
      <c r="J1" s="81" t="inlineStr">
        <is>
          <t>หมายเหตุ</t>
        </is>
      </c>
      <c r="L1" s="82" t="inlineStr">
        <is>
          <t>💡 กรอกตอนปิดร้านทุกวัน — แค่ 8 ช่อง (3 นาที)</t>
        </is>
      </c>
    </row>
    <row r="2" ht="15" customHeight="1" s="61">
      <c r="A2" s="83" t="inlineStr">
        <is>
          <t>2026-05-12</t>
        </is>
      </c>
      <c r="B2" s="83" t="n"/>
      <c r="C2" s="83" t="n"/>
      <c r="D2" s="84" t="n"/>
      <c r="E2" s="84">
        <f>IFERROR(D2/C2,0)</f>
        <v/>
      </c>
      <c r="F2" s="83" t="n"/>
      <c r="G2" s="85" t="n"/>
      <c r="H2" s="83" t="n"/>
      <c r="I2" s="83" t="n"/>
      <c r="J2" s="83" t="n"/>
    </row>
    <row r="3" ht="15" customHeight="1" s="61">
      <c r="A3" s="86" t="inlineStr">
        <is>
          <t>2026-05-13</t>
        </is>
      </c>
      <c r="B3" s="86" t="n"/>
      <c r="C3" s="86" t="n"/>
      <c r="D3" s="87" t="n"/>
      <c r="E3" s="87">
        <f>IFERROR(D3/C3,0)</f>
        <v/>
      </c>
      <c r="F3" s="86" t="n"/>
      <c r="G3" s="88" t="n"/>
      <c r="H3" s="86" t="n"/>
      <c r="I3" s="86" t="n"/>
      <c r="J3" s="89" t="inlineStr">
        <is>
          <t>🚀 SOFT OPEN DAY 1</t>
        </is>
      </c>
    </row>
    <row r="4" ht="15" customHeight="1" s="61">
      <c r="A4" s="83" t="inlineStr">
        <is>
          <t>2026-05-14</t>
        </is>
      </c>
      <c r="B4" s="83" t="n"/>
      <c r="C4" s="83" t="n"/>
      <c r="D4" s="84" t="n"/>
      <c r="E4" s="84">
        <f>IFERROR(D4/C4,0)</f>
        <v/>
      </c>
      <c r="F4" s="83" t="n"/>
      <c r="G4" s="85" t="n"/>
      <c r="H4" s="83" t="n"/>
      <c r="I4" s="83" t="n"/>
      <c r="J4" s="83" t="n"/>
    </row>
    <row r="5" ht="15" customHeight="1" s="61">
      <c r="A5" s="83" t="inlineStr">
        <is>
          <t>2026-05-15</t>
        </is>
      </c>
      <c r="B5" s="83" t="n"/>
      <c r="C5" s="83" t="n"/>
      <c r="D5" s="84" t="n"/>
      <c r="E5" s="84">
        <f>IFERROR(D5/C5,0)</f>
        <v/>
      </c>
      <c r="F5" s="83" t="n"/>
      <c r="G5" s="85" t="n"/>
      <c r="H5" s="83" t="n"/>
      <c r="I5" s="83" t="n"/>
      <c r="J5" s="83" t="n"/>
    </row>
    <row r="6" ht="15" customHeight="1" s="61">
      <c r="A6" s="83" t="inlineStr">
        <is>
          <t>2026-05-16</t>
        </is>
      </c>
      <c r="B6" s="83" t="n"/>
      <c r="C6" s="83" t="n"/>
      <c r="D6" s="84" t="n"/>
      <c r="E6" s="84">
        <f>IFERROR(D6/C6,0)</f>
        <v/>
      </c>
      <c r="F6" s="83" t="n"/>
      <c r="G6" s="85" t="n"/>
      <c r="H6" s="83" t="n"/>
      <c r="I6" s="83" t="n"/>
      <c r="J6" s="83" t="n"/>
    </row>
    <row r="7" ht="15" customHeight="1" s="61">
      <c r="A7" s="83" t="inlineStr">
        <is>
          <t>2026-05-17</t>
        </is>
      </c>
      <c r="B7" s="83" t="n"/>
      <c r="C7" s="83" t="n"/>
      <c r="D7" s="84" t="n"/>
      <c r="E7" s="84">
        <f>IFERROR(D7/C7,0)</f>
        <v/>
      </c>
      <c r="F7" s="83" t="n"/>
      <c r="G7" s="85" t="n"/>
      <c r="H7" s="83" t="n"/>
      <c r="I7" s="83" t="n"/>
      <c r="J7" s="83" t="n"/>
    </row>
    <row r="8" ht="15" customHeight="1" s="61">
      <c r="A8" s="83" t="inlineStr">
        <is>
          <t>2026-05-18</t>
        </is>
      </c>
      <c r="B8" s="83" t="n"/>
      <c r="C8" s="83" t="n"/>
      <c r="D8" s="84" t="n"/>
      <c r="E8" s="84">
        <f>IFERROR(D8/C8,0)</f>
        <v/>
      </c>
      <c r="F8" s="83" t="n"/>
      <c r="G8" s="85" t="n"/>
      <c r="H8" s="83" t="n"/>
      <c r="I8" s="83" t="n"/>
      <c r="J8" s="83" t="n"/>
    </row>
    <row r="9" ht="15" customHeight="1" s="61">
      <c r="A9" s="83" t="inlineStr">
        <is>
          <t>2026-05-19</t>
        </is>
      </c>
      <c r="B9" s="83" t="n"/>
      <c r="C9" s="83" t="n"/>
      <c r="D9" s="84" t="n"/>
      <c r="E9" s="84">
        <f>IFERROR(D9/C9,0)</f>
        <v/>
      </c>
      <c r="F9" s="83" t="n"/>
      <c r="G9" s="85" t="n"/>
      <c r="H9" s="83" t="n"/>
      <c r="I9" s="83" t="n"/>
      <c r="J9" s="83" t="n"/>
    </row>
    <row r="10" ht="15" customHeight="1" s="61">
      <c r="A10" s="83" t="inlineStr">
        <is>
          <t>2026-05-20</t>
        </is>
      </c>
      <c r="B10" s="83" t="n"/>
      <c r="C10" s="83" t="n"/>
      <c r="D10" s="84" t="n"/>
      <c r="E10" s="84">
        <f>IFERROR(D10/C10,0)</f>
        <v/>
      </c>
      <c r="F10" s="83" t="n"/>
      <c r="G10" s="85" t="n"/>
      <c r="H10" s="83" t="n"/>
      <c r="I10" s="83" t="n"/>
      <c r="J10" s="83" t="n"/>
    </row>
    <row r="11" ht="15" customHeight="1" s="61">
      <c r="A11" s="83" t="inlineStr">
        <is>
          <t>2026-05-21</t>
        </is>
      </c>
      <c r="B11" s="83" t="n"/>
      <c r="C11" s="83" t="n"/>
      <c r="D11" s="84" t="n"/>
      <c r="E11" s="84">
        <f>IFERROR(D11/C11,0)</f>
        <v/>
      </c>
      <c r="F11" s="83" t="n"/>
      <c r="G11" s="85" t="n"/>
      <c r="H11" s="83" t="n"/>
      <c r="I11" s="83" t="n"/>
      <c r="J11" s="83" t="n"/>
    </row>
    <row r="12" ht="15" customHeight="1" s="61">
      <c r="A12" s="83" t="inlineStr">
        <is>
          <t>2026-05-22</t>
        </is>
      </c>
      <c r="B12" s="83" t="n"/>
      <c r="C12" s="83" t="n"/>
      <c r="D12" s="84" t="n"/>
      <c r="E12" s="84">
        <f>IFERROR(D12/C12,0)</f>
        <v/>
      </c>
      <c r="F12" s="83" t="n"/>
      <c r="G12" s="85" t="n"/>
      <c r="H12" s="83" t="n"/>
      <c r="I12" s="83" t="n"/>
      <c r="J12" s="83" t="n"/>
    </row>
    <row r="13" ht="15" customHeight="1" s="61">
      <c r="A13" s="83" t="inlineStr">
        <is>
          <t>2026-05-23</t>
        </is>
      </c>
      <c r="B13" s="83" t="n"/>
      <c r="C13" s="83" t="n"/>
      <c r="D13" s="84" t="n"/>
      <c r="E13" s="84">
        <f>IFERROR(D13/C13,0)</f>
        <v/>
      </c>
      <c r="F13" s="83" t="n"/>
      <c r="G13" s="85" t="n"/>
      <c r="H13" s="83" t="n"/>
      <c r="I13" s="83" t="n"/>
      <c r="J13" s="83" t="n"/>
    </row>
    <row r="14" ht="15" customHeight="1" s="61">
      <c r="A14" s="83" t="inlineStr">
        <is>
          <t>2026-05-24</t>
        </is>
      </c>
      <c r="B14" s="83" t="n"/>
      <c r="C14" s="83" t="n"/>
      <c r="D14" s="84" t="n"/>
      <c r="E14" s="84">
        <f>IFERROR(D14/C14,0)</f>
        <v/>
      </c>
      <c r="F14" s="83" t="n"/>
      <c r="G14" s="85" t="n"/>
      <c r="H14" s="83" t="n"/>
      <c r="I14" s="83" t="n"/>
      <c r="J14" s="83" t="n"/>
    </row>
    <row r="15" ht="15" customHeight="1" s="61">
      <c r="A15" s="83" t="inlineStr">
        <is>
          <t>2026-05-25</t>
        </is>
      </c>
      <c r="B15" s="83" t="n"/>
      <c r="C15" s="83" t="n"/>
      <c r="D15" s="84" t="n"/>
      <c r="E15" s="84">
        <f>IFERROR(D15/C15,0)</f>
        <v/>
      </c>
      <c r="F15" s="83" t="n"/>
      <c r="G15" s="85" t="n"/>
      <c r="H15" s="83" t="n"/>
      <c r="I15" s="83" t="n"/>
      <c r="J15" s="83" t="n"/>
    </row>
    <row r="16" ht="15" customHeight="1" s="61">
      <c r="A16" s="83" t="inlineStr">
        <is>
          <t>2026-05-26</t>
        </is>
      </c>
      <c r="B16" s="83" t="n"/>
      <c r="C16" s="83" t="n"/>
      <c r="D16" s="84" t="n"/>
      <c r="E16" s="84">
        <f>IFERROR(D16/C16,0)</f>
        <v/>
      </c>
      <c r="F16" s="83" t="n"/>
      <c r="G16" s="85" t="n"/>
      <c r="H16" s="83" t="n"/>
      <c r="I16" s="83" t="n"/>
      <c r="J16" s="83" t="n"/>
    </row>
    <row r="17" ht="15" customHeight="1" s="61">
      <c r="A17" s="83" t="inlineStr">
        <is>
          <t>2026-05-27</t>
        </is>
      </c>
      <c r="B17" s="83" t="n"/>
      <c r="C17" s="83" t="n"/>
      <c r="D17" s="84" t="n"/>
      <c r="E17" s="84">
        <f>IFERROR(D17/C17,0)</f>
        <v/>
      </c>
      <c r="F17" s="83" t="n"/>
      <c r="G17" s="85" t="n"/>
      <c r="H17" s="83" t="n"/>
      <c r="I17" s="83" t="n"/>
      <c r="J17" s="83" t="n"/>
    </row>
    <row r="18" ht="15" customHeight="1" s="61">
      <c r="A18" s="90" t="inlineStr">
        <is>
          <t>2026-05-28</t>
        </is>
      </c>
      <c r="B18" s="90" t="n"/>
      <c r="C18" s="90" t="n"/>
      <c r="D18" s="91" t="n"/>
      <c r="E18" s="91">
        <f>IFERROR(D18/C18,0)</f>
        <v/>
      </c>
      <c r="F18" s="90" t="n"/>
      <c r="G18" s="92" t="n"/>
      <c r="H18" s="90" t="n"/>
      <c r="I18" s="90" t="n"/>
      <c r="J18" s="93" t="inlineStr">
        <is>
          <t>🎉 GRAND OPEN</t>
        </is>
      </c>
    </row>
    <row r="19" ht="15" customHeight="1" s="61">
      <c r="A19" s="83" t="inlineStr">
        <is>
          <t>2026-05-29</t>
        </is>
      </c>
      <c r="B19" s="83" t="n"/>
      <c r="C19" s="83" t="n"/>
      <c r="D19" s="84" t="n"/>
      <c r="E19" s="84">
        <f>IFERROR(D19/C19,0)</f>
        <v/>
      </c>
      <c r="F19" s="83" t="n"/>
      <c r="G19" s="85" t="n"/>
      <c r="H19" s="83" t="n"/>
      <c r="I19" s="83" t="n"/>
      <c r="J19" s="83" t="n"/>
    </row>
    <row r="20" ht="15" customHeight="1" s="61">
      <c r="A20" s="83" t="inlineStr">
        <is>
          <t>2026-05-30</t>
        </is>
      </c>
      <c r="B20" s="83" t="n"/>
      <c r="C20" s="83" t="n"/>
      <c r="D20" s="84" t="n"/>
      <c r="E20" s="84">
        <f>IFERROR(D20/C20,0)</f>
        <v/>
      </c>
      <c r="F20" s="83" t="n"/>
      <c r="G20" s="85" t="n"/>
      <c r="H20" s="83" t="n"/>
      <c r="I20" s="83" t="n"/>
      <c r="J20" s="83" t="n"/>
    </row>
    <row r="21" ht="15" customHeight="1" s="61">
      <c r="A21" s="83" t="inlineStr">
        <is>
          <t>2026-05-31</t>
        </is>
      </c>
      <c r="B21" s="83" t="n"/>
      <c r="C21" s="83" t="n"/>
      <c r="D21" s="84" t="n"/>
      <c r="E21" s="84">
        <f>IFERROR(D21/C21,0)</f>
        <v/>
      </c>
      <c r="F21" s="83" t="n"/>
      <c r="G21" s="85" t="n"/>
      <c r="H21" s="83" t="n"/>
      <c r="I21" s="83" t="n"/>
      <c r="J21" s="83" t="n"/>
    </row>
    <row r="22" ht="15" customHeight="1" s="61">
      <c r="A22" s="83" t="inlineStr">
        <is>
          <t>2026-06-01</t>
        </is>
      </c>
      <c r="B22" s="83" t="n"/>
      <c r="C22" s="83" t="n"/>
      <c r="D22" s="84" t="n"/>
      <c r="E22" s="84">
        <f>IFERROR(D22/C22,0)</f>
        <v/>
      </c>
      <c r="F22" s="83" t="n"/>
      <c r="G22" s="85" t="n"/>
      <c r="H22" s="83" t="n"/>
      <c r="I22" s="83" t="n"/>
      <c r="J22" s="83" t="n"/>
    </row>
    <row r="23" ht="15" customHeight="1" s="61">
      <c r="A23" s="83" t="inlineStr">
        <is>
          <t>2026-06-02</t>
        </is>
      </c>
      <c r="B23" s="83" t="n"/>
      <c r="C23" s="83" t="n"/>
      <c r="D23" s="84" t="n"/>
      <c r="E23" s="84">
        <f>IFERROR(D23/C23,0)</f>
        <v/>
      </c>
      <c r="F23" s="83" t="n"/>
      <c r="G23" s="85" t="n"/>
      <c r="H23" s="83" t="n"/>
      <c r="I23" s="83" t="n"/>
      <c r="J23" s="83" t="n"/>
    </row>
    <row r="24" ht="15" customHeight="1" s="61">
      <c r="A24" s="83" t="inlineStr">
        <is>
          <t>2026-06-03</t>
        </is>
      </c>
      <c r="B24" s="83" t="n"/>
      <c r="C24" s="83" t="n"/>
      <c r="D24" s="84" t="n"/>
      <c r="E24" s="84">
        <f>IFERROR(D24/C24,0)</f>
        <v/>
      </c>
      <c r="F24" s="83" t="n"/>
      <c r="G24" s="85" t="n"/>
      <c r="H24" s="83" t="n"/>
      <c r="I24" s="83" t="n"/>
      <c r="J24" s="83" t="n"/>
    </row>
    <row r="25" ht="15" customHeight="1" s="61">
      <c r="A25" s="83" t="inlineStr">
        <is>
          <t>2026-06-04</t>
        </is>
      </c>
      <c r="B25" s="83" t="n"/>
      <c r="C25" s="83" t="n"/>
      <c r="D25" s="84" t="n"/>
      <c r="E25" s="84">
        <f>IFERROR(D25/C25,0)</f>
        <v/>
      </c>
      <c r="F25" s="83" t="n"/>
      <c r="G25" s="85" t="n"/>
      <c r="H25" s="83" t="n"/>
      <c r="I25" s="83" t="n"/>
      <c r="J25" s="83" t="n"/>
    </row>
    <row r="26" ht="15" customHeight="1" s="61">
      <c r="A26" s="83" t="inlineStr">
        <is>
          <t>2026-06-05</t>
        </is>
      </c>
      <c r="B26" s="83" t="n"/>
      <c r="C26" s="83" t="n"/>
      <c r="D26" s="84" t="n"/>
      <c r="E26" s="84">
        <f>IFERROR(D26/C26,0)</f>
        <v/>
      </c>
      <c r="F26" s="83" t="n"/>
      <c r="G26" s="85" t="n"/>
      <c r="H26" s="83" t="n"/>
      <c r="I26" s="83" t="n"/>
      <c r="J26" s="83" t="n"/>
    </row>
    <row r="27" ht="15" customHeight="1" s="61">
      <c r="A27" s="83" t="inlineStr">
        <is>
          <t>2026-06-06</t>
        </is>
      </c>
      <c r="B27" s="83" t="n"/>
      <c r="C27" s="83" t="n"/>
      <c r="D27" s="84" t="n"/>
      <c r="E27" s="84">
        <f>IFERROR(D27/C27,0)</f>
        <v/>
      </c>
      <c r="F27" s="83" t="n"/>
      <c r="G27" s="85" t="n"/>
      <c r="H27" s="83" t="n"/>
      <c r="I27" s="83" t="n"/>
      <c r="J27" s="83" t="n"/>
    </row>
    <row r="28" ht="15" customHeight="1" s="61">
      <c r="A28" s="83" t="inlineStr">
        <is>
          <t>2026-06-07</t>
        </is>
      </c>
      <c r="B28" s="83" t="n"/>
      <c r="C28" s="83" t="n"/>
      <c r="D28" s="84" t="n"/>
      <c r="E28" s="84">
        <f>IFERROR(D28/C28,0)</f>
        <v/>
      </c>
      <c r="F28" s="83" t="n"/>
      <c r="G28" s="85" t="n"/>
      <c r="H28" s="83" t="n"/>
      <c r="I28" s="83" t="n"/>
      <c r="J28" s="83" t="n"/>
    </row>
    <row r="29" ht="15" customHeight="1" s="61">
      <c r="A29" s="83" t="inlineStr">
        <is>
          <t>2026-06-08</t>
        </is>
      </c>
      <c r="B29" s="83" t="n"/>
      <c r="C29" s="83" t="n"/>
      <c r="D29" s="84" t="n"/>
      <c r="E29" s="84">
        <f>IFERROR(D29/C29,0)</f>
        <v/>
      </c>
      <c r="F29" s="83" t="n"/>
      <c r="G29" s="85" t="n"/>
      <c r="H29" s="83" t="n"/>
      <c r="I29" s="83" t="n"/>
      <c r="J29" s="83" t="n"/>
    </row>
    <row r="30" ht="15" customHeight="1" s="61">
      <c r="A30" s="83" t="inlineStr">
        <is>
          <t>2026-06-09</t>
        </is>
      </c>
      <c r="B30" s="83" t="n"/>
      <c r="C30" s="83" t="n"/>
      <c r="D30" s="84" t="n"/>
      <c r="E30" s="84">
        <f>IFERROR(D30/C30,0)</f>
        <v/>
      </c>
      <c r="F30" s="83" t="n"/>
      <c r="G30" s="85" t="n"/>
      <c r="H30" s="83" t="n"/>
      <c r="I30" s="83" t="n"/>
      <c r="J30" s="83" t="n"/>
    </row>
    <row r="31" ht="15" customHeight="1" s="61">
      <c r="A31" s="83" t="inlineStr">
        <is>
          <t>2026-06-10</t>
        </is>
      </c>
      <c r="B31" s="83" t="n"/>
      <c r="C31" s="83" t="n"/>
      <c r="D31" s="84" t="n"/>
      <c r="E31" s="84">
        <f>IFERROR(D31/C31,0)</f>
        <v/>
      </c>
      <c r="F31" s="83" t="n"/>
      <c r="G31" s="85" t="n"/>
      <c r="H31" s="83" t="n"/>
      <c r="I31" s="83" t="n"/>
      <c r="J31" s="83" t="n"/>
    </row>
    <row r="32" ht="15" customHeight="1" s="61">
      <c r="A32" s="83" t="inlineStr">
        <is>
          <t>2026-06-11</t>
        </is>
      </c>
      <c r="B32" s="83" t="n"/>
      <c r="C32" s="83" t="n"/>
      <c r="D32" s="84" t="n"/>
      <c r="E32" s="84">
        <f>IFERROR(D32/C32,0)</f>
        <v/>
      </c>
      <c r="F32" s="83" t="n"/>
      <c r="G32" s="85" t="n"/>
      <c r="H32" s="83" t="n"/>
      <c r="I32" s="83" t="n"/>
      <c r="J32" s="83" t="n"/>
    </row>
    <row r="33" ht="15" customHeight="1" s="61">
      <c r="A33" s="83" t="inlineStr">
        <is>
          <t>2026-06-12</t>
        </is>
      </c>
      <c r="B33" s="83" t="n"/>
      <c r="C33" s="83" t="n"/>
      <c r="D33" s="84" t="n"/>
      <c r="E33" s="84">
        <f>IFERROR(D33/C33,0)</f>
        <v/>
      </c>
      <c r="F33" s="83" t="n"/>
      <c r="G33" s="85" t="n"/>
      <c r="H33" s="83" t="n"/>
      <c r="I33" s="83" t="n"/>
      <c r="J33" s="83" t="n"/>
    </row>
    <row r="34" ht="15" customHeight="1" s="61">
      <c r="A34" s="83" t="inlineStr">
        <is>
          <t>2026-06-13</t>
        </is>
      </c>
      <c r="B34" s="83" t="n"/>
      <c r="C34" s="83" t="n"/>
      <c r="D34" s="84" t="n"/>
      <c r="E34" s="84">
        <f>IFERROR(D34/C34,0)</f>
        <v/>
      </c>
      <c r="F34" s="83" t="n"/>
      <c r="G34" s="85" t="n"/>
      <c r="H34" s="83" t="n"/>
      <c r="I34" s="83" t="n"/>
      <c r="J34" s="83" t="n"/>
    </row>
    <row r="35" ht="15" customHeight="1" s="61">
      <c r="A35" s="83" t="inlineStr">
        <is>
          <t>2026-06-14</t>
        </is>
      </c>
      <c r="B35" s="83" t="n"/>
      <c r="C35" s="83" t="n"/>
      <c r="D35" s="84" t="n"/>
      <c r="E35" s="84">
        <f>IFERROR(D35/C35,0)</f>
        <v/>
      </c>
      <c r="F35" s="83" t="n"/>
      <c r="G35" s="85" t="n"/>
      <c r="H35" s="83" t="n"/>
      <c r="I35" s="83" t="n"/>
      <c r="J35" s="83" t="n"/>
    </row>
    <row r="36" ht="15" customHeight="1" s="61">
      <c r="A36" s="83" t="inlineStr">
        <is>
          <t>2026-06-15</t>
        </is>
      </c>
      <c r="B36" s="83" t="n"/>
      <c r="C36" s="83" t="n"/>
      <c r="D36" s="84" t="n"/>
      <c r="E36" s="84">
        <f>IFERROR(D36/C36,0)</f>
        <v/>
      </c>
      <c r="F36" s="83" t="n"/>
      <c r="G36" s="85" t="n"/>
      <c r="H36" s="83" t="n"/>
      <c r="I36" s="83" t="n"/>
      <c r="J36" s="83" t="n"/>
    </row>
    <row r="37" ht="15" customHeight="1" s="61">
      <c r="A37" s="83" t="inlineStr">
        <is>
          <t>2026-06-16</t>
        </is>
      </c>
      <c r="B37" s="83" t="n"/>
      <c r="C37" s="83" t="n"/>
      <c r="D37" s="84" t="n"/>
      <c r="E37" s="84">
        <f>IFERROR(D37/C37,0)</f>
        <v/>
      </c>
      <c r="F37" s="83" t="n"/>
      <c r="G37" s="85" t="n"/>
      <c r="H37" s="83" t="n"/>
      <c r="I37" s="83" t="n"/>
      <c r="J37" s="83" t="n"/>
    </row>
    <row r="38" ht="15" customHeight="1" s="61">
      <c r="A38" s="83" t="inlineStr">
        <is>
          <t>2026-06-17</t>
        </is>
      </c>
      <c r="B38" s="83" t="n"/>
      <c r="C38" s="83" t="n"/>
      <c r="D38" s="84" t="n"/>
      <c r="E38" s="84">
        <f>IFERROR(D38/C38,0)</f>
        <v/>
      </c>
      <c r="F38" s="83" t="n"/>
      <c r="G38" s="85" t="n"/>
      <c r="H38" s="83" t="n"/>
      <c r="I38" s="83" t="n"/>
      <c r="J38" s="83" t="n"/>
    </row>
    <row r="39" ht="15" customHeight="1" s="61">
      <c r="A39" s="83" t="inlineStr">
        <is>
          <t>2026-06-18</t>
        </is>
      </c>
      <c r="B39" s="83" t="n"/>
      <c r="C39" s="83" t="n"/>
      <c r="D39" s="84" t="n"/>
      <c r="E39" s="84">
        <f>IFERROR(D39/C39,0)</f>
        <v/>
      </c>
      <c r="F39" s="83" t="n"/>
      <c r="G39" s="85" t="n"/>
      <c r="H39" s="83" t="n"/>
      <c r="I39" s="83" t="n"/>
      <c r="J39" s="83" t="n"/>
    </row>
    <row r="40" ht="15" customHeight="1" s="61">
      <c r="A40" s="83" t="inlineStr">
        <is>
          <t>2026-06-19</t>
        </is>
      </c>
      <c r="B40" s="83" t="n"/>
      <c r="C40" s="83" t="n"/>
      <c r="D40" s="84" t="n"/>
      <c r="E40" s="84">
        <f>IFERROR(D40/C40,0)</f>
        <v/>
      </c>
      <c r="F40" s="83" t="n"/>
      <c r="G40" s="85" t="n"/>
      <c r="H40" s="83" t="n"/>
      <c r="I40" s="83" t="n"/>
      <c r="J40" s="83" t="n"/>
    </row>
    <row r="41" ht="15" customHeight="1" s="61">
      <c r="A41" s="83" t="inlineStr">
        <is>
          <t>2026-06-20</t>
        </is>
      </c>
      <c r="B41" s="83" t="n"/>
      <c r="C41" s="83" t="n"/>
      <c r="D41" s="84" t="n"/>
      <c r="E41" s="84">
        <f>IFERROR(D41/C41,0)</f>
        <v/>
      </c>
      <c r="F41" s="83" t="n"/>
      <c r="G41" s="85" t="n"/>
      <c r="H41" s="83" t="n"/>
      <c r="I41" s="83" t="n"/>
      <c r="J41" s="83" t="n"/>
    </row>
    <row r="42" ht="15" customHeight="1" s="61">
      <c r="A42" s="83" t="inlineStr">
        <is>
          <t>2026-06-21</t>
        </is>
      </c>
      <c r="B42" s="83" t="n"/>
      <c r="C42" s="83" t="n"/>
      <c r="D42" s="84" t="n"/>
      <c r="E42" s="84">
        <f>IFERROR(D42/C42,0)</f>
        <v/>
      </c>
      <c r="F42" s="83" t="n"/>
      <c r="G42" s="85" t="n"/>
      <c r="H42" s="83" t="n"/>
      <c r="I42" s="83" t="n"/>
      <c r="J42" s="83" t="n"/>
    </row>
    <row r="43" ht="15" customHeight="1" s="61">
      <c r="A43" s="83" t="inlineStr">
        <is>
          <t>2026-06-22</t>
        </is>
      </c>
      <c r="B43" s="83" t="n"/>
      <c r="C43" s="83" t="n"/>
      <c r="D43" s="84" t="n"/>
      <c r="E43" s="84">
        <f>IFERROR(D43/C43,0)</f>
        <v/>
      </c>
      <c r="F43" s="83" t="n"/>
      <c r="G43" s="85" t="n"/>
      <c r="H43" s="83" t="n"/>
      <c r="I43" s="83" t="n"/>
      <c r="J43" s="83" t="n"/>
    </row>
    <row r="44" ht="15" customHeight="1" s="61">
      <c r="A44" s="83" t="inlineStr">
        <is>
          <t>2026-06-23</t>
        </is>
      </c>
      <c r="B44" s="83" t="n"/>
      <c r="C44" s="83" t="n"/>
      <c r="D44" s="84" t="n"/>
      <c r="E44" s="84">
        <f>IFERROR(D44/C44,0)</f>
        <v/>
      </c>
      <c r="F44" s="83" t="n"/>
      <c r="G44" s="85" t="n"/>
      <c r="H44" s="83" t="n"/>
      <c r="I44" s="83" t="n"/>
      <c r="J44" s="83" t="n"/>
    </row>
    <row r="45" ht="15" customHeight="1" s="61">
      <c r="A45" s="83" t="inlineStr">
        <is>
          <t>2026-06-24</t>
        </is>
      </c>
      <c r="B45" s="83" t="n"/>
      <c r="C45" s="83" t="n"/>
      <c r="D45" s="84" t="n"/>
      <c r="E45" s="84">
        <f>IFERROR(D45/C45,0)</f>
        <v/>
      </c>
      <c r="F45" s="83" t="n"/>
      <c r="G45" s="85" t="n"/>
      <c r="H45" s="83" t="n"/>
      <c r="I45" s="83" t="n"/>
      <c r="J45" s="83" t="n"/>
    </row>
    <row r="46" ht="15" customHeight="1" s="61">
      <c r="A46" s="83" t="inlineStr">
        <is>
          <t>2026-06-25</t>
        </is>
      </c>
      <c r="B46" s="83" t="n"/>
      <c r="C46" s="83" t="n"/>
      <c r="D46" s="84" t="n"/>
      <c r="E46" s="84">
        <f>IFERROR(D46/C46,0)</f>
        <v/>
      </c>
      <c r="F46" s="83" t="n"/>
      <c r="G46" s="85" t="n"/>
      <c r="H46" s="83" t="n"/>
      <c r="I46" s="83" t="n"/>
      <c r="J46" s="83" t="n"/>
    </row>
    <row r="47" ht="15" customHeight="1" s="61">
      <c r="A47" s="83" t="inlineStr">
        <is>
          <t>2026-06-26</t>
        </is>
      </c>
      <c r="B47" s="83" t="n"/>
      <c r="C47" s="83" t="n"/>
      <c r="D47" s="84" t="n"/>
      <c r="E47" s="84">
        <f>IFERROR(D47/C47,0)</f>
        <v/>
      </c>
      <c r="F47" s="83" t="n"/>
      <c r="G47" s="85" t="n"/>
      <c r="H47" s="83" t="n"/>
      <c r="I47" s="83" t="n"/>
      <c r="J47" s="83" t="n"/>
    </row>
    <row r="48" ht="15" customHeight="1" s="61">
      <c r="A48" s="83" t="inlineStr">
        <is>
          <t>2026-06-27</t>
        </is>
      </c>
      <c r="B48" s="83" t="n"/>
      <c r="C48" s="83" t="n"/>
      <c r="D48" s="84" t="n"/>
      <c r="E48" s="84">
        <f>IFERROR(D48/C48,0)</f>
        <v/>
      </c>
      <c r="F48" s="83" t="n"/>
      <c r="G48" s="85" t="n"/>
      <c r="H48" s="83" t="n"/>
      <c r="I48" s="83" t="n"/>
      <c r="J48" s="83" t="n"/>
    </row>
    <row r="49" ht="15" customHeight="1" s="61">
      <c r="A49" s="83" t="inlineStr">
        <is>
          <t>2026-06-28</t>
        </is>
      </c>
      <c r="B49" s="83" t="n"/>
      <c r="C49" s="83" t="n"/>
      <c r="D49" s="84" t="n"/>
      <c r="E49" s="84">
        <f>IFERROR(D49/C49,0)</f>
        <v/>
      </c>
      <c r="F49" s="83" t="n"/>
      <c r="G49" s="85" t="n"/>
      <c r="H49" s="83" t="n"/>
      <c r="I49" s="83" t="n"/>
      <c r="J49" s="83" t="n"/>
    </row>
    <row r="50" ht="15" customHeight="1" s="61">
      <c r="A50" s="83" t="inlineStr">
        <is>
          <t>2026-06-29</t>
        </is>
      </c>
      <c r="B50" s="83" t="n"/>
      <c r="C50" s="83" t="n"/>
      <c r="D50" s="84" t="n"/>
      <c r="E50" s="84">
        <f>IFERROR(D50/C50,0)</f>
        <v/>
      </c>
      <c r="F50" s="83" t="n"/>
      <c r="G50" s="85" t="n"/>
      <c r="H50" s="83" t="n"/>
      <c r="I50" s="83" t="n"/>
      <c r="J50" s="83" t="n"/>
    </row>
    <row r="51" ht="15" customHeight="1" s="61">
      <c r="A51" s="83" t="inlineStr">
        <is>
          <t>2026-06-30</t>
        </is>
      </c>
      <c r="B51" s="83" t="n"/>
      <c r="C51" s="83" t="n"/>
      <c r="D51" s="84" t="n"/>
      <c r="E51" s="84">
        <f>IFERROR(D51/C51,0)</f>
        <v/>
      </c>
      <c r="F51" s="83" t="n"/>
      <c r="G51" s="85" t="n"/>
      <c r="H51" s="83" t="n"/>
      <c r="I51" s="83" t="n"/>
      <c r="J51" s="83" t="n"/>
    </row>
    <row r="52" ht="15" customHeight="1" s="61">
      <c r="A52" s="83" t="inlineStr">
        <is>
          <t>2026-07-01</t>
        </is>
      </c>
      <c r="B52" s="83" t="n"/>
      <c r="C52" s="83" t="n"/>
      <c r="D52" s="84" t="n"/>
      <c r="E52" s="84">
        <f>IFERROR(D52/C52,0)</f>
        <v/>
      </c>
      <c r="F52" s="83" t="n"/>
      <c r="G52" s="85" t="n"/>
      <c r="H52" s="83" t="n"/>
      <c r="I52" s="83" t="n"/>
      <c r="J52" s="83" t="n"/>
    </row>
    <row r="53" ht="15" customHeight="1" s="61">
      <c r="A53" s="83" t="inlineStr">
        <is>
          <t>2026-07-02</t>
        </is>
      </c>
      <c r="B53" s="83" t="n"/>
      <c r="C53" s="83" t="n"/>
      <c r="D53" s="84" t="n"/>
      <c r="E53" s="84">
        <f>IFERROR(D53/C53,0)</f>
        <v/>
      </c>
      <c r="F53" s="83" t="n"/>
      <c r="G53" s="85" t="n"/>
      <c r="H53" s="83" t="n"/>
      <c r="I53" s="83" t="n"/>
      <c r="J53" s="83" t="n"/>
    </row>
    <row r="54" ht="15" customHeight="1" s="61">
      <c r="A54" s="83" t="inlineStr">
        <is>
          <t>2026-07-03</t>
        </is>
      </c>
      <c r="B54" s="83" t="n"/>
      <c r="C54" s="83" t="n"/>
      <c r="D54" s="84" t="n"/>
      <c r="E54" s="84">
        <f>IFERROR(D54/C54,0)</f>
        <v/>
      </c>
      <c r="F54" s="83" t="n"/>
      <c r="G54" s="85" t="n"/>
      <c r="H54" s="83" t="n"/>
      <c r="I54" s="83" t="n"/>
      <c r="J54" s="83" t="n"/>
    </row>
    <row r="55" ht="15" customHeight="1" s="61">
      <c r="A55" s="83" t="inlineStr">
        <is>
          <t>2026-07-04</t>
        </is>
      </c>
      <c r="B55" s="83" t="n"/>
      <c r="C55" s="83" t="n"/>
      <c r="D55" s="84" t="n"/>
      <c r="E55" s="84">
        <f>IFERROR(D55/C55,0)</f>
        <v/>
      </c>
      <c r="F55" s="83" t="n"/>
      <c r="G55" s="85" t="n"/>
      <c r="H55" s="83" t="n"/>
      <c r="I55" s="83" t="n"/>
      <c r="J55" s="83" t="n"/>
    </row>
    <row r="56" ht="15" customHeight="1" s="61">
      <c r="A56" s="83" t="inlineStr">
        <is>
          <t>2026-07-05</t>
        </is>
      </c>
      <c r="B56" s="83" t="n"/>
      <c r="C56" s="83" t="n"/>
      <c r="D56" s="84" t="n"/>
      <c r="E56" s="84">
        <f>IFERROR(D56/C56,0)</f>
        <v/>
      </c>
      <c r="F56" s="83" t="n"/>
      <c r="G56" s="85" t="n"/>
      <c r="H56" s="83" t="n"/>
      <c r="I56" s="83" t="n"/>
      <c r="J56" s="83" t="n"/>
    </row>
    <row r="57" ht="15" customHeight="1" s="61">
      <c r="A57" s="83" t="inlineStr">
        <is>
          <t>2026-07-06</t>
        </is>
      </c>
      <c r="B57" s="83" t="n"/>
      <c r="C57" s="83" t="n"/>
      <c r="D57" s="84" t="n"/>
      <c r="E57" s="84">
        <f>IFERROR(D57/C57,0)</f>
        <v/>
      </c>
      <c r="F57" s="83" t="n"/>
      <c r="G57" s="85" t="n"/>
      <c r="H57" s="83" t="n"/>
      <c r="I57" s="83" t="n"/>
      <c r="J57" s="83" t="n"/>
    </row>
    <row r="58" ht="15" customHeight="1" s="61">
      <c r="A58" s="83" t="inlineStr">
        <is>
          <t>2026-07-07</t>
        </is>
      </c>
      <c r="B58" s="83" t="n"/>
      <c r="C58" s="83" t="n"/>
      <c r="D58" s="84" t="n"/>
      <c r="E58" s="84">
        <f>IFERROR(D58/C58,0)</f>
        <v/>
      </c>
      <c r="F58" s="83" t="n"/>
      <c r="G58" s="85" t="n"/>
      <c r="H58" s="83" t="n"/>
      <c r="I58" s="83" t="n"/>
      <c r="J58" s="83" t="n"/>
    </row>
    <row r="59" ht="15" customHeight="1" s="61">
      <c r="A59" s="83" t="inlineStr">
        <is>
          <t>2026-07-08</t>
        </is>
      </c>
      <c r="B59" s="83" t="n"/>
      <c r="C59" s="83" t="n"/>
      <c r="D59" s="84" t="n"/>
      <c r="E59" s="84">
        <f>IFERROR(D59/C59,0)</f>
        <v/>
      </c>
      <c r="F59" s="83" t="n"/>
      <c r="G59" s="85" t="n"/>
      <c r="H59" s="83" t="n"/>
      <c r="I59" s="83" t="n"/>
      <c r="J59" s="83" t="n"/>
    </row>
    <row r="60" ht="15" customHeight="1" s="61">
      <c r="A60" s="83" t="inlineStr">
        <is>
          <t>2026-07-09</t>
        </is>
      </c>
      <c r="B60" s="83" t="n"/>
      <c r="C60" s="83" t="n"/>
      <c r="D60" s="84" t="n"/>
      <c r="E60" s="84">
        <f>IFERROR(D60/C60,0)</f>
        <v/>
      </c>
      <c r="F60" s="83" t="n"/>
      <c r="G60" s="85" t="n"/>
      <c r="H60" s="83" t="n"/>
      <c r="I60" s="83" t="n"/>
      <c r="J60" s="83" t="n"/>
    </row>
    <row r="61" ht="15" customHeight="1" s="61">
      <c r="A61" s="83" t="inlineStr">
        <is>
          <t>2026-07-10</t>
        </is>
      </c>
      <c r="B61" s="83" t="n"/>
      <c r="C61" s="83" t="n"/>
      <c r="D61" s="84" t="n"/>
      <c r="E61" s="84">
        <f>IFERROR(D61/C61,0)</f>
        <v/>
      </c>
      <c r="F61" s="83" t="n"/>
      <c r="G61" s="85" t="n"/>
      <c r="H61" s="83" t="n"/>
      <c r="I61" s="83" t="n"/>
      <c r="J61" s="83" t="n"/>
    </row>
    <row r="62" ht="15" customHeight="1" s="61">
      <c r="A62" s="94" t="inlineStr">
        <is>
          <t>TOTAL</t>
        </is>
      </c>
      <c r="B62" s="95">
        <f>SUM(B2:B61)</f>
        <v/>
      </c>
      <c r="C62" s="95">
        <f>SUM(C2:C61)</f>
        <v/>
      </c>
      <c r="D62" s="96">
        <f>SUM(D2:D61)</f>
        <v/>
      </c>
      <c r="E62" s="96">
        <f>IFERROR(D62/C62,0)</f>
        <v/>
      </c>
      <c r="F62" s="97" t="n"/>
      <c r="G62" s="97" t="n"/>
      <c r="H62" s="95">
        <f>SUM(H2:H61)</f>
        <v/>
      </c>
      <c r="I62" s="95">
        <f>SUM(I2:I61)</f>
        <v/>
      </c>
      <c r="J62" s="9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tabColor rgb="00F4A261"/>
    <outlinePr summaryBelow="1" summaryRight="1"/>
    <pageSetUpPr/>
  </sheetPr>
  <dimension ref="A1:J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61" min="1" max="1"/>
    <col width="6" customWidth="1" style="61" min="2" max="2"/>
    <col width="13" customWidth="1" style="61" min="3" max="3"/>
    <col width="13" customWidth="1" style="61" min="4" max="4"/>
    <col width="13" customWidth="1" style="61" min="5" max="5"/>
    <col width="13" customWidth="1" style="61" min="6" max="6"/>
    <col width="12" customWidth="1" style="61" min="7" max="7"/>
    <col width="10" customWidth="1" style="61" min="8" max="8"/>
    <col width="12" customWidth="1" style="61" min="9" max="9"/>
    <col width="32" customWidth="1" style="61" min="10" max="10"/>
  </cols>
  <sheetData>
    <row r="1" ht="36" customHeight="1" s="61">
      <c r="A1" s="121" t="inlineStr">
        <is>
          <t>📊 BETTER JUICE — SALES FORECAST (2-WEEK LAUNCH)</t>
        </is>
      </c>
    </row>
    <row r="2" ht="18" customHeight="1" s="61">
      <c r="A2" s="122" t="inlineStr">
        <is>
          <t>Grand Open 28 พ.ค. 2026  ·  Conservative ramp-up model  ·  Assumptions: Avg ticket ฿98-108 · Cold-press 40% / Smoothie 35% / Wrap 15% / Add-ons 10%</t>
        </is>
      </c>
    </row>
    <row r="3" ht="30" customHeight="1" s="61">
      <c r="A3" s="123" t="inlineStr">
        <is>
          <t>วันที่</t>
        </is>
      </c>
      <c r="B3" s="123" t="inlineStr">
        <is>
          <t>วัน</t>
        </is>
      </c>
      <c r="C3" s="123" t="inlineStr">
        <is>
          <t>ลูกค้า (คน)</t>
        </is>
      </c>
      <c r="D3" s="123" t="inlineStr">
        <is>
          <t>Revenue ฿</t>
        </is>
      </c>
      <c r="E3" s="123" t="inlineStr">
        <is>
          <t>Avg Ticket ฿</t>
        </is>
      </c>
      <c r="F3" s="123" t="inlineStr">
        <is>
          <t>Cold-press ฿</t>
        </is>
      </c>
      <c r="G3" s="123" t="inlineStr">
        <is>
          <t>Smoothie ฿</t>
        </is>
      </c>
      <c r="H3" s="123" t="inlineStr">
        <is>
          <t>Wrap ฿</t>
        </is>
      </c>
      <c r="I3" s="123" t="inlineStr">
        <is>
          <t>GP ฿ (~68%)</t>
        </is>
      </c>
      <c r="J3" s="123" t="inlineStr">
        <is>
          <t>หมายเหตุ</t>
        </is>
      </c>
    </row>
    <row r="4" ht="22" customHeight="1" s="61">
      <c r="A4" s="124" t="inlineStr">
        <is>
          <t>⬛ WEEK 1 — Grand Open Week  (28 พ.ค. – 3 มิ.ย. 2026)</t>
        </is>
      </c>
    </row>
    <row r="5" ht="22" customHeight="1" s="61">
      <c r="A5" s="125" t="inlineStr">
        <is>
          <t>28 May 26</t>
        </is>
      </c>
      <c r="B5" s="125" t="inlineStr">
        <is>
          <t>Thu</t>
        </is>
      </c>
      <c r="C5" s="126" t="n">
        <v>45</v>
      </c>
      <c r="D5" s="127" t="n">
        <v>4590</v>
      </c>
      <c r="E5" s="126" t="n">
        <v>102</v>
      </c>
      <c r="F5" s="126" t="n">
        <v>1836</v>
      </c>
      <c r="G5" s="126" t="n">
        <v>1606</v>
      </c>
      <c r="H5" s="126" t="n">
        <v>688</v>
      </c>
      <c r="I5" s="128" t="n">
        <v>3121</v>
      </c>
      <c r="J5" s="129" t="inlineStr">
        <is>
          <t>🎉 GRAND OPEN — walk-in surge</t>
        </is>
      </c>
    </row>
    <row r="6" ht="22" customHeight="1" s="61">
      <c r="A6" s="130" t="inlineStr">
        <is>
          <t>29 May 26</t>
        </is>
      </c>
      <c r="B6" s="130" t="inlineStr">
        <is>
          <t>Fri</t>
        </is>
      </c>
      <c r="C6" s="131" t="n">
        <v>38</v>
      </c>
      <c r="D6" s="132" t="n">
        <v>3800</v>
      </c>
      <c r="E6" s="131" t="n">
        <v>100</v>
      </c>
      <c r="F6" s="131" t="n">
        <v>1520</v>
      </c>
      <c r="G6" s="131" t="n">
        <v>1330</v>
      </c>
      <c r="H6" s="131" t="n">
        <v>570</v>
      </c>
      <c r="I6" s="133" t="n">
        <v>2584</v>
      </c>
      <c r="J6" s="134" t="inlineStr">
        <is>
          <t>Post-opening buzz</t>
        </is>
      </c>
    </row>
    <row r="7" ht="22" customHeight="1" s="61">
      <c r="A7" s="125" t="inlineStr">
        <is>
          <t>30 May 26</t>
        </is>
      </c>
      <c r="B7" s="125" t="inlineStr">
        <is>
          <t>Sat</t>
        </is>
      </c>
      <c r="C7" s="126" t="n">
        <v>60</v>
      </c>
      <c r="D7" s="127" t="n">
        <v>6300</v>
      </c>
      <c r="E7" s="126" t="n">
        <v>105</v>
      </c>
      <c r="F7" s="126" t="n">
        <v>2520</v>
      </c>
      <c r="G7" s="126" t="n">
        <v>2205</v>
      </c>
      <c r="H7" s="126" t="n">
        <v>945</v>
      </c>
      <c r="I7" s="128" t="n">
        <v>4284</v>
      </c>
      <c r="J7" s="129" t="inlineStr">
        <is>
          <t>Weekend peak</t>
        </is>
      </c>
    </row>
    <row r="8" ht="22" customHeight="1" s="61">
      <c r="A8" s="130" t="inlineStr">
        <is>
          <t>31 May 26</t>
        </is>
      </c>
      <c r="B8" s="130" t="inlineStr">
        <is>
          <t>Sun</t>
        </is>
      </c>
      <c r="C8" s="131" t="n">
        <v>55</v>
      </c>
      <c r="D8" s="132" t="n">
        <v>5720</v>
      </c>
      <c r="E8" s="131" t="n">
        <v>104</v>
      </c>
      <c r="F8" s="131" t="n">
        <v>2288</v>
      </c>
      <c r="G8" s="131" t="n">
        <v>2002</v>
      </c>
      <c r="H8" s="131" t="n">
        <v>858</v>
      </c>
      <c r="I8" s="133" t="n">
        <v>3890</v>
      </c>
      <c r="J8" s="134" t="inlineStr">
        <is>
          <t>Weekend — family + tourist</t>
        </is>
      </c>
    </row>
    <row r="9" ht="22" customHeight="1" s="61">
      <c r="A9" s="125" t="inlineStr">
        <is>
          <t>01 Jun 26</t>
        </is>
      </c>
      <c r="B9" s="125" t="inlineStr">
        <is>
          <t>Mon</t>
        </is>
      </c>
      <c r="C9" s="126" t="n">
        <v>30</v>
      </c>
      <c r="D9" s="127" t="n">
        <v>2940</v>
      </c>
      <c r="E9" s="126" t="n">
        <v>98</v>
      </c>
      <c r="F9" s="126" t="n">
        <v>1176</v>
      </c>
      <c r="G9" s="126" t="n">
        <v>1029</v>
      </c>
      <c r="H9" s="126" t="n">
        <v>441</v>
      </c>
      <c r="I9" s="128" t="n">
        <v>1999</v>
      </c>
      <c r="J9" s="129" t="inlineStr">
        <is>
          <t>Weekday dip</t>
        </is>
      </c>
    </row>
    <row r="10" ht="22" customHeight="1" s="61">
      <c r="A10" s="130" t="inlineStr">
        <is>
          <t>02 Jun 26</t>
        </is>
      </c>
      <c r="B10" s="130" t="inlineStr">
        <is>
          <t>Tue</t>
        </is>
      </c>
      <c r="C10" s="131" t="n">
        <v>32</v>
      </c>
      <c r="D10" s="132" t="n">
        <v>3136</v>
      </c>
      <c r="E10" s="131" t="n">
        <v>98</v>
      </c>
      <c r="F10" s="131" t="n">
        <v>1254</v>
      </c>
      <c r="G10" s="131" t="n">
        <v>1098</v>
      </c>
      <c r="H10" s="131" t="n">
        <v>470</v>
      </c>
      <c r="I10" s="133" t="n">
        <v>2132</v>
      </c>
      <c r="J10" s="134" t="inlineStr">
        <is>
          <t>Weekday</t>
        </is>
      </c>
    </row>
    <row r="11" ht="22" customHeight="1" s="61">
      <c r="A11" s="125" t="inlineStr">
        <is>
          <t>03 Jun 26</t>
        </is>
      </c>
      <c r="B11" s="125" t="inlineStr">
        <is>
          <t>Wed</t>
        </is>
      </c>
      <c r="C11" s="126" t="n">
        <v>35</v>
      </c>
      <c r="D11" s="127" t="n">
        <v>3465</v>
      </c>
      <c r="E11" s="126" t="n">
        <v>99</v>
      </c>
      <c r="F11" s="126" t="n">
        <v>1386</v>
      </c>
      <c r="G11" s="126" t="n">
        <v>1213</v>
      </c>
      <c r="H11" s="126" t="n">
        <v>520</v>
      </c>
      <c r="I11" s="128" t="n">
        <v>2356</v>
      </c>
      <c r="J11" s="129" t="inlineStr">
        <is>
          <t>Mid-week pickup</t>
        </is>
      </c>
    </row>
    <row r="12" ht="24" customHeight="1" s="61">
      <c r="A12" s="144" t="inlineStr">
        <is>
          <t>WEEK 1 TOTAL</t>
        </is>
      </c>
      <c r="B12" s="145" t="n"/>
      <c r="C12" s="145" t="n"/>
      <c r="D12" s="145" t="n"/>
      <c r="E12" s="145" t="n"/>
      <c r="F12" s="145" t="n"/>
      <c r="G12" s="145" t="n"/>
      <c r="H12" s="145" t="n"/>
      <c r="I12" s="145" t="n"/>
      <c r="J12" s="146" t="n"/>
    </row>
    <row r="13" ht="22" customHeight="1" s="61">
      <c r="A13" s="138" t="inlineStr">
        <is>
          <t>⬛ WEEK 2 — Building Momentum  (4 – 10 มิ.ย. 2026)</t>
        </is>
      </c>
    </row>
    <row r="14" ht="22" customHeight="1" s="61">
      <c r="A14" s="130" t="inlineStr">
        <is>
          <t>04 Jun 26</t>
        </is>
      </c>
      <c r="B14" s="130" t="inlineStr">
        <is>
          <t>Thu</t>
        </is>
      </c>
      <c r="C14" s="131" t="n">
        <v>40</v>
      </c>
      <c r="D14" s="132" t="n">
        <v>4000</v>
      </c>
      <c r="E14" s="131" t="n">
        <v>100</v>
      </c>
      <c r="F14" s="131" t="n">
        <v>1600</v>
      </c>
      <c r="G14" s="131" t="n">
        <v>1400</v>
      </c>
      <c r="H14" s="131" t="n">
        <v>600</v>
      </c>
      <c r="I14" s="133" t="n">
        <v>2720</v>
      </c>
      <c r="J14" s="134" t="inlineStr">
        <is>
          <t>Wk2 — growing regulars</t>
        </is>
      </c>
    </row>
    <row r="15" ht="22" customHeight="1" s="61">
      <c r="A15" s="125" t="inlineStr">
        <is>
          <t>05 Jun 26</t>
        </is>
      </c>
      <c r="B15" s="125" t="inlineStr">
        <is>
          <t>Fri</t>
        </is>
      </c>
      <c r="C15" s="126" t="n">
        <v>48</v>
      </c>
      <c r="D15" s="127" t="n">
        <v>4944</v>
      </c>
      <c r="E15" s="126" t="n">
        <v>103</v>
      </c>
      <c r="F15" s="126" t="n">
        <v>1978</v>
      </c>
      <c r="G15" s="126" t="n">
        <v>1730</v>
      </c>
      <c r="H15" s="126" t="n">
        <v>742</v>
      </c>
      <c r="I15" s="128" t="n">
        <v>3362</v>
      </c>
      <c r="J15" s="129" t="inlineStr">
        <is>
          <t>Pre-weekend surge</t>
        </is>
      </c>
    </row>
    <row r="16" ht="22" customHeight="1" s="61">
      <c r="A16" s="130" t="inlineStr">
        <is>
          <t>06 Jun 26</t>
        </is>
      </c>
      <c r="B16" s="130" t="inlineStr">
        <is>
          <t>Sat</t>
        </is>
      </c>
      <c r="C16" s="131" t="n">
        <v>70</v>
      </c>
      <c r="D16" s="132" t="n">
        <v>7560</v>
      </c>
      <c r="E16" s="131" t="n">
        <v>108</v>
      </c>
      <c r="F16" s="131" t="n">
        <v>3024</v>
      </c>
      <c r="G16" s="131" t="n">
        <v>2646</v>
      </c>
      <c r="H16" s="131" t="n">
        <v>1134</v>
      </c>
      <c r="I16" s="133" t="n">
        <v>5141</v>
      </c>
      <c r="J16" s="134" t="inlineStr">
        <is>
          <t>Weekend peak wk2</t>
        </is>
      </c>
    </row>
    <row r="17" ht="22" customHeight="1" s="61">
      <c r="A17" s="125" t="inlineStr">
        <is>
          <t>07 Jun 26</t>
        </is>
      </c>
      <c r="B17" s="125" t="inlineStr">
        <is>
          <t>Sun</t>
        </is>
      </c>
      <c r="C17" s="126" t="n">
        <v>65</v>
      </c>
      <c r="D17" s="127" t="n">
        <v>6890</v>
      </c>
      <c r="E17" s="126" t="n">
        <v>106</v>
      </c>
      <c r="F17" s="126" t="n">
        <v>2756</v>
      </c>
      <c r="G17" s="126" t="n">
        <v>2412</v>
      </c>
      <c r="H17" s="126" t="n">
        <v>1034</v>
      </c>
      <c r="I17" s="128" t="n">
        <v>4685</v>
      </c>
      <c r="J17" s="129" t="inlineStr">
        <is>
          <t>Weekend tourist + family</t>
        </is>
      </c>
    </row>
    <row r="18" ht="22" customHeight="1" s="61">
      <c r="A18" s="130" t="inlineStr">
        <is>
          <t>08 Jun 26</t>
        </is>
      </c>
      <c r="B18" s="130" t="inlineStr">
        <is>
          <t>Mon</t>
        </is>
      </c>
      <c r="C18" s="131" t="n">
        <v>42</v>
      </c>
      <c r="D18" s="132" t="n">
        <v>4200</v>
      </c>
      <c r="E18" s="131" t="n">
        <v>100</v>
      </c>
      <c r="F18" s="131" t="n">
        <v>1680</v>
      </c>
      <c r="G18" s="131" t="n">
        <v>1470</v>
      </c>
      <c r="H18" s="131" t="n">
        <v>630</v>
      </c>
      <c r="I18" s="133" t="n">
        <v>2856</v>
      </c>
      <c r="J18" s="134" t="inlineStr">
        <is>
          <t>Regulars established</t>
        </is>
      </c>
    </row>
    <row r="19" ht="22" customHeight="1" s="61">
      <c r="A19" s="125" t="inlineStr">
        <is>
          <t>09 Jun 26</t>
        </is>
      </c>
      <c r="B19" s="125" t="inlineStr">
        <is>
          <t>Tue</t>
        </is>
      </c>
      <c r="C19" s="126" t="n">
        <v>45</v>
      </c>
      <c r="D19" s="127" t="n">
        <v>4545</v>
      </c>
      <c r="E19" s="126" t="n">
        <v>101</v>
      </c>
      <c r="F19" s="126" t="n">
        <v>1818</v>
      </c>
      <c r="G19" s="126" t="n">
        <v>1591</v>
      </c>
      <c r="H19" s="126" t="n">
        <v>682</v>
      </c>
      <c r="I19" s="128" t="n">
        <v>3091</v>
      </c>
      <c r="J19" s="129" t="inlineStr">
        <is>
          <t>Growing office crowd</t>
        </is>
      </c>
    </row>
    <row r="20" ht="22" customHeight="1" s="61">
      <c r="A20" s="130" t="inlineStr">
        <is>
          <t>10 Jun 26</t>
        </is>
      </c>
      <c r="B20" s="130" t="inlineStr">
        <is>
          <t>Wed</t>
        </is>
      </c>
      <c r="C20" s="131" t="n">
        <v>48</v>
      </c>
      <c r="D20" s="132" t="n">
        <v>4896</v>
      </c>
      <c r="E20" s="131" t="n">
        <v>102</v>
      </c>
      <c r="F20" s="131" t="n">
        <v>1958</v>
      </c>
      <c r="G20" s="131" t="n">
        <v>1714</v>
      </c>
      <c r="H20" s="131" t="n">
        <v>734</v>
      </c>
      <c r="I20" s="133" t="n">
        <v>3329</v>
      </c>
      <c r="J20" s="134" t="inlineStr">
        <is>
          <t>Strong mid-week</t>
        </is>
      </c>
    </row>
    <row r="21" ht="24" customHeight="1" s="61">
      <c r="A21" s="135" t="inlineStr">
        <is>
          <t>WEEK 2 TOTAL</t>
        </is>
      </c>
      <c r="C21" s="136" t="n">
        <v>358</v>
      </c>
      <c r="D21" s="136" t="n">
        <v>37035</v>
      </c>
      <c r="E21" s="136" t="n">
        <v>103</v>
      </c>
      <c r="F21" s="136" t="n">
        <v>14814</v>
      </c>
      <c r="G21" s="136" t="n">
        <v>12962</v>
      </c>
      <c r="H21" s="136" t="n">
        <v>5555</v>
      </c>
      <c r="I21" s="136" t="n">
        <v>25184</v>
      </c>
      <c r="J21" s="137" t="inlineStr"/>
    </row>
    <row r="22" ht="28" customHeight="1" s="61">
      <c r="A22" s="139" t="inlineStr">
        <is>
          <t>🏆 2-WEEK GRAND TOTAL</t>
        </is>
      </c>
      <c r="C22" s="140" t="n">
        <v>653</v>
      </c>
      <c r="D22" s="140" t="n">
        <v>66986</v>
      </c>
      <c r="E22" s="140" t="n">
        <v>103</v>
      </c>
      <c r="F22" s="140" t="n">
        <v>26794</v>
      </c>
      <c r="G22" s="140" t="n">
        <v>23445</v>
      </c>
      <c r="H22" s="140" t="n">
        <v>10048</v>
      </c>
      <c r="I22" s="140" t="n">
        <v>45550</v>
      </c>
      <c r="J22" s="141" t="inlineStr"/>
    </row>
    <row r="24" ht="22" customHeight="1" s="61">
      <c r="A24" s="142" t="inlineStr">
        <is>
          <t>📌 ASSUMPTIONS &amp; NOTES</t>
        </is>
      </c>
    </row>
    <row r="25" ht="18" customHeight="1" s="61">
      <c r="A25" s="143" t="inlineStr">
        <is>
          <t>• Model based on conservative ramp-up for new juice bar in Thai market (no historical data yet — update Daily tab nightly to replace forecast)</t>
        </is>
      </c>
    </row>
    <row r="26" ht="18" customHeight="1" s="61">
      <c r="A26" s="143" t="inlineStr">
        <is>
          <t>• Week 1 avg 42 customers/day | Week 2 avg 51 customers/day  →  expected ~20% week-over-week growth as word spreads</t>
        </is>
      </c>
    </row>
    <row r="27" ht="18" customHeight="1" s="61">
      <c r="A27" s="143" t="inlineStr">
        <is>
          <t>• Revenue mix: Cold-press 40% · Smoothie 35% · Wrap 15% · Add-ons 10%  |  GP margin ~68% (after food cost ~32%)</t>
        </is>
      </c>
    </row>
    <row r="28" ht="18" customHeight="1" s="61">
      <c r="A28" s="143" t="inlineStr">
        <is>
          <t>• Weekend (Sat/Sun) modelled at +60% vs. weekday — adjust if location skews toward office crowd</t>
        </is>
      </c>
    </row>
    <row r="29" ht="18" customHeight="1" s="61">
      <c r="A29" s="143" t="inlineStr">
        <is>
          <t>• Top SKUs: SMILE ON + KEEP RISING (morning best-sellers) · FULL POWER + GLOW UP (weekend/fitness) · THINK SHARP (office)</t>
        </is>
      </c>
    </row>
    <row r="30" ht="18" customHeight="1" s="61">
      <c r="A30" s="143" t="inlineStr">
        <is>
          <t>• Grand Open day (28 พ.ค.) includes launch boost — may normalise Day 2-3; re-forecast after first week of actuals</t>
        </is>
      </c>
    </row>
  </sheetData>
  <mergeCells count="14">
    <mergeCell ref="A1:J1"/>
    <mergeCell ref="A21:B21"/>
    <mergeCell ref="A27:J27"/>
    <mergeCell ref="A30:J30"/>
    <mergeCell ref="A28:J28"/>
    <mergeCell ref="A12:J12"/>
    <mergeCell ref="A4:J4"/>
    <mergeCell ref="A29:J29"/>
    <mergeCell ref="A26:J26"/>
    <mergeCell ref="A24:J24"/>
    <mergeCell ref="A2:J2"/>
    <mergeCell ref="A25:J25"/>
    <mergeCell ref="A22:B22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tabColor rgb="0052B788"/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60" min="1" max="1"/>
    <col width="20" customWidth="1" style="60" min="2" max="2"/>
    <col width="22" customWidth="1" style="60" min="3" max="3"/>
    <col width="14" customWidth="1" style="60" min="4" max="4"/>
    <col width="7" customWidth="1" style="60" min="5" max="5"/>
    <col width="50" customWidth="1" style="60" min="6" max="6"/>
    <col width="10" customWidth="1" style="60" min="7" max="9"/>
    <col width="20" customWidth="1" style="60" min="10" max="10"/>
    <col width="16" customWidth="1" style="60" min="11" max="11"/>
  </cols>
  <sheetData>
    <row r="1" ht="31.5" customHeight="1" s="61">
      <c r="A1" s="81" t="inlineStr">
        <is>
          <t>#</t>
        </is>
      </c>
      <c r="B1" s="81" t="inlineStr">
        <is>
          <t>Menu Name</t>
        </is>
      </c>
      <c r="C1" s="81" t="inlineStr">
        <is>
          <t>Mantra/Long Form</t>
        </is>
      </c>
      <c r="D1" s="81" t="inlineStr">
        <is>
          <t>Type</t>
        </is>
      </c>
      <c r="E1" s="81" t="inlineStr">
        <is>
          <t>Size</t>
        </is>
      </c>
      <c r="F1" s="81" t="inlineStr">
        <is>
          <t>ส่วนผสมหลัก</t>
        </is>
      </c>
      <c r="G1" s="81" t="inlineStr">
        <is>
          <t>ราคา ฿</t>
        </is>
      </c>
      <c r="H1" s="81" t="inlineStr">
        <is>
          <t>ต้นทุน ฿</t>
        </is>
      </c>
      <c r="I1" s="81" t="inlineStr">
        <is>
          <t>Margin %</t>
        </is>
      </c>
      <c r="J1" s="81" t="inlineStr">
        <is>
          <t>Persona</t>
        </is>
      </c>
      <c r="K1" s="81" t="inlineStr">
        <is>
          <t>Daypart</t>
        </is>
      </c>
    </row>
    <row r="2" ht="30" customHeight="1" s="61">
      <c r="A2" s="86" t="n">
        <v>1</v>
      </c>
      <c r="B2" s="86" t="inlineStr">
        <is>
          <t>KEEP RISING</t>
        </is>
      </c>
      <c r="C2" s="86" t="inlineStr">
        <is>
          <t>BLOOMING CONFIDENCE</t>
        </is>
      </c>
      <c r="D2" s="86" t="inlineStr">
        <is>
          <t>Cold-press</t>
        </is>
      </c>
      <c r="E2" s="86" t="inlineStr">
        <is>
          <t>12oz</t>
        </is>
      </c>
      <c r="F2" s="86" t="inlineStr">
        <is>
          <t>Apple 225g + Carrot 96g + Ginger 3g + Lime + Sea Salt</t>
        </is>
      </c>
      <c r="G2" s="87" t="n">
        <v>98</v>
      </c>
      <c r="H2" s="87" t="n">
        <v>32</v>
      </c>
      <c r="I2" s="88">
        <f>IFERROR((G2-H2)/G2,0)</f>
        <v/>
      </c>
      <c r="J2" s="86" t="inlineStr">
        <is>
          <t>Office Nut, Tourist</t>
        </is>
      </c>
      <c r="K2" s="86" t="inlineStr">
        <is>
          <t>Morning</t>
        </is>
      </c>
    </row>
    <row r="3" ht="30" customHeight="1" s="61">
      <c r="A3" s="83" t="n">
        <v>2</v>
      </c>
      <c r="B3" s="83" t="inlineStr">
        <is>
          <t>MIND CLEAR</t>
        </is>
      </c>
      <c r="C3" s="83" t="inlineStr">
        <is>
          <t>CRYSTAL CLARITY</t>
        </is>
      </c>
      <c r="D3" s="83" t="inlineStr">
        <is>
          <t>Cold-press</t>
        </is>
      </c>
      <c r="E3" s="83" t="inlineStr">
        <is>
          <t>12oz</t>
        </is>
      </c>
      <c r="F3" s="83" t="inlineStr">
        <is>
          <t>Pineapple 168g + Cucumber 144g + Celery 24g + Kale 20g + Lime + Ginger 2.4g</t>
        </is>
      </c>
      <c r="G3" s="84" t="n">
        <v>98</v>
      </c>
      <c r="H3" s="84" t="n">
        <v>30</v>
      </c>
      <c r="I3" s="85">
        <f>IFERROR((G3-H3)/G3,0)</f>
        <v/>
      </c>
      <c r="J3" s="83" t="inlineStr">
        <is>
          <t>Office Nut</t>
        </is>
      </c>
      <c r="K3" s="83" t="inlineStr">
        <is>
          <t>Morning-Mid</t>
        </is>
      </c>
    </row>
    <row r="4" ht="30" customHeight="1" s="61">
      <c r="A4" s="86" t="n">
        <v>3</v>
      </c>
      <c r="B4" s="86" t="inlineStr">
        <is>
          <t>SMILE ON</t>
        </is>
      </c>
      <c r="C4" s="86" t="inlineStr">
        <is>
          <t>RADIANT VITALITY</t>
        </is>
      </c>
      <c r="D4" s="86" t="inlineStr">
        <is>
          <t>Cold-press</t>
        </is>
      </c>
      <c r="E4" s="86" t="inlineStr">
        <is>
          <t>12oz</t>
        </is>
      </c>
      <c r="F4" s="86" t="inlineStr">
        <is>
          <t>Orange 245g + Passion Fruit 55g + Carrot 75g + Celery 30g + Sea Salt</t>
        </is>
      </c>
      <c r="G4" s="87" t="n">
        <v>98</v>
      </c>
      <c r="H4" s="87" t="n">
        <v>30</v>
      </c>
      <c r="I4" s="88">
        <f>IFERROR((G4-H4)/G4,0)</f>
        <v/>
      </c>
      <c r="J4" s="86" t="inlineStr">
        <is>
          <t>All</t>
        </is>
      </c>
      <c r="K4" s="86" t="inlineStr">
        <is>
          <t>All day</t>
        </is>
      </c>
    </row>
    <row r="5" ht="30" customHeight="1" s="61">
      <c r="A5" s="83" t="n">
        <v>4</v>
      </c>
      <c r="B5" s="83" t="inlineStr">
        <is>
          <t>FULL POWER</t>
        </is>
      </c>
      <c r="C5" s="83" t="inlineStr">
        <is>
          <t>VIBRANT HYDRATION</t>
        </is>
      </c>
      <c r="D5" s="83" t="inlineStr">
        <is>
          <t>Cold-press</t>
        </is>
      </c>
      <c r="E5" s="83" t="inlineStr">
        <is>
          <t>12oz</t>
        </is>
      </c>
      <c r="F5" s="83" t="inlineStr">
        <is>
          <t>Watermelon 190g + Pineapple 75g + Passion Fruit 30g + Lime + Sea Salt</t>
        </is>
      </c>
      <c r="G5" s="84" t="n">
        <v>88</v>
      </c>
      <c r="H5" s="84" t="n">
        <v>26</v>
      </c>
      <c r="I5" s="85">
        <f>IFERROR((G5-H5)/G5,0)</f>
        <v/>
      </c>
      <c r="J5" s="83" t="inlineStr">
        <is>
          <t>Fitness, Family</t>
        </is>
      </c>
      <c r="K5" s="83" t="inlineStr">
        <is>
          <t>Post-workout</t>
        </is>
      </c>
    </row>
    <row r="6" ht="30" customHeight="1" s="61">
      <c r="A6" s="86" t="n">
        <v>5</v>
      </c>
      <c r="B6" s="86" t="inlineStr">
        <is>
          <t>KEEP GOING</t>
        </is>
      </c>
      <c r="C6" s="86" t="inlineStr">
        <is>
          <t>PASSIONATE FUEL</t>
        </is>
      </c>
      <c r="D6" s="86" t="inlineStr">
        <is>
          <t>Cold-press</t>
        </is>
      </c>
      <c r="E6" s="86" t="inlineStr">
        <is>
          <t>12oz</t>
        </is>
      </c>
      <c r="F6" s="86" t="inlineStr">
        <is>
          <t>Apple 180g + Carrot 220g + Lemon 24g + Beetroot 18g</t>
        </is>
      </c>
      <c r="G6" s="87" t="n">
        <v>98</v>
      </c>
      <c r="H6" s="87" t="n">
        <v>30</v>
      </c>
      <c r="I6" s="88">
        <f>IFERROR((G6-H6)/G6,0)</f>
        <v/>
      </c>
      <c r="J6" s="86" t="inlineStr">
        <is>
          <t>Office Nut</t>
        </is>
      </c>
      <c r="K6" s="86" t="inlineStr">
        <is>
          <t>All day</t>
        </is>
      </c>
    </row>
    <row r="7" ht="30" customHeight="1" s="61">
      <c r="A7" s="83" t="n">
        <v>6</v>
      </c>
      <c r="B7" s="83" t="inlineStr">
        <is>
          <t>RESET DAY</t>
        </is>
      </c>
      <c r="C7" s="83" t="inlineStr">
        <is>
          <t>RESTART RHYTHM</t>
        </is>
      </c>
      <c r="D7" s="83" t="inlineStr">
        <is>
          <t>Cold-press</t>
        </is>
      </c>
      <c r="E7" s="83" t="inlineStr">
        <is>
          <t>12oz</t>
        </is>
      </c>
      <c r="F7" s="83" t="inlineStr">
        <is>
          <t>Green Apple 200g + Celery 45g + Pineapple 90g + Sweet Basil + Lime</t>
        </is>
      </c>
      <c r="G7" s="84" t="n">
        <v>88</v>
      </c>
      <c r="H7" s="84" t="n">
        <v>28</v>
      </c>
      <c r="I7" s="85">
        <f>IFERROR((G7-H7)/G7,0)</f>
        <v/>
      </c>
      <c r="J7" s="83" t="inlineStr">
        <is>
          <t>Wellness Mom</t>
        </is>
      </c>
      <c r="K7" s="83" t="inlineStr">
        <is>
          <t>Morning/Sunday</t>
        </is>
      </c>
    </row>
    <row r="8" ht="30" customHeight="1" s="61">
      <c r="A8" s="86" t="n">
        <v>7</v>
      </c>
      <c r="B8" s="86" t="inlineStr">
        <is>
          <t>STAY SHARP</t>
        </is>
      </c>
      <c r="C8" s="86" t="inlineStr">
        <is>
          <t>PURE AMBITION</t>
        </is>
      </c>
      <c r="D8" s="86" t="inlineStr">
        <is>
          <t>Cold-press</t>
        </is>
      </c>
      <c r="E8" s="86" t="inlineStr">
        <is>
          <t>12oz</t>
        </is>
      </c>
      <c r="F8" s="86" t="inlineStr">
        <is>
          <t>Cucumber 140g + Celery 18g + Kale 8g + Lemon 7g + Green Apple 140g + Mint</t>
        </is>
      </c>
      <c r="G8" s="87" t="n">
        <v>98</v>
      </c>
      <c r="H8" s="87" t="n">
        <v>30</v>
      </c>
      <c r="I8" s="88">
        <f>IFERROR((G8-H8)/G8,0)</f>
        <v/>
      </c>
      <c r="J8" s="86" t="inlineStr">
        <is>
          <t>Office Nut</t>
        </is>
      </c>
      <c r="K8" s="86" t="inlineStr">
        <is>
          <t>Morning-Mid</t>
        </is>
      </c>
    </row>
    <row r="9" ht="30" customHeight="1" s="61">
      <c r="A9" s="83" t="n">
        <v>8</v>
      </c>
      <c r="B9" s="83" t="inlineStr">
        <is>
          <t>EASY FLOW</t>
        </is>
      </c>
      <c r="C9" s="83" t="inlineStr">
        <is>
          <t>SMOOTH ASCENT</t>
        </is>
      </c>
      <c r="D9" s="83" t="inlineStr">
        <is>
          <t>Cold-press</t>
        </is>
      </c>
      <c r="E9" s="83" t="inlineStr">
        <is>
          <t>12oz</t>
        </is>
      </c>
      <c r="F9" s="83" t="inlineStr">
        <is>
          <t>Guava 165g + Red Apple 100g + Green Apple 44g + Lime + Sea Salt</t>
        </is>
      </c>
      <c r="G9" s="84" t="n">
        <v>88</v>
      </c>
      <c r="H9" s="84" t="n">
        <v>26</v>
      </c>
      <c r="I9" s="85">
        <f>IFERROR((G9-H9)/G9,0)</f>
        <v/>
      </c>
      <c r="J9" s="83" t="inlineStr">
        <is>
          <t>Mom, Wellness</t>
        </is>
      </c>
      <c r="K9" s="83" t="inlineStr">
        <is>
          <t>All day</t>
        </is>
      </c>
    </row>
    <row r="10" ht="30" customHeight="1" s="61">
      <c r="A10" s="86" t="n">
        <v>9</v>
      </c>
      <c r="B10" s="86" t="inlineStr">
        <is>
          <t>SHINE BRIGHT</t>
        </is>
      </c>
      <c r="C10" s="86" t="inlineStr">
        <is>
          <t>GLOW UP CRYSTAL</t>
        </is>
      </c>
      <c r="D10" s="86" t="inlineStr">
        <is>
          <t>Cold-press</t>
        </is>
      </c>
      <c r="E10" s="86" t="inlineStr">
        <is>
          <t>12oz</t>
        </is>
      </c>
      <c r="F10" s="86" t="inlineStr">
        <is>
          <t>Beetroot 50g + Pineapple 110g + Orange 160g + Red Apple 90g + Ginger 5g</t>
        </is>
      </c>
      <c r="G10" s="87" t="n">
        <v>98</v>
      </c>
      <c r="H10" s="87" t="n">
        <v>28</v>
      </c>
      <c r="I10" s="88">
        <f>IFERROR((G10-H10)/G10,0)</f>
        <v/>
      </c>
      <c r="J10" s="86" t="inlineStr">
        <is>
          <t>Wellness Mom</t>
        </is>
      </c>
      <c r="K10" s="86" t="inlineStr">
        <is>
          <t>All day</t>
        </is>
      </c>
    </row>
    <row r="11" ht="30" customHeight="1" s="61">
      <c r="A11" s="83" t="n">
        <v>10</v>
      </c>
      <c r="B11" s="83" t="inlineStr">
        <is>
          <t>STAND PROUD</t>
        </is>
      </c>
      <c r="C11" s="83" t="inlineStr">
        <is>
          <t>ANCIENT ANTIOXIDANT</t>
        </is>
      </c>
      <c r="D11" s="83" t="inlineStr">
        <is>
          <t>Cold-press Premium</t>
        </is>
      </c>
      <c r="E11" s="83" t="inlineStr">
        <is>
          <t>12oz</t>
        </is>
      </c>
      <c r="F11" s="83" t="inlineStr">
        <is>
          <t>Pomegranate 180g + Green Apple 80g + Carrot 50g + Lemon + Mint</t>
        </is>
      </c>
      <c r="G11" s="84" t="n">
        <v>138</v>
      </c>
      <c r="H11" s="84" t="n">
        <v>41</v>
      </c>
      <c r="I11" s="85">
        <f>IFERROR((G11-H11)/G11,0)</f>
        <v/>
      </c>
      <c r="J11" s="83" t="inlineStr">
        <is>
          <t>Premium</t>
        </is>
      </c>
      <c r="K11" s="83" t="inlineStr">
        <is>
          <t>Afternoon</t>
        </is>
      </c>
    </row>
    <row r="12" ht="30" customHeight="1" s="61">
      <c r="A12" s="98" t="n">
        <v>11</v>
      </c>
      <c r="B12" s="98" t="inlineStr">
        <is>
          <t>FEEL GOOD</t>
        </is>
      </c>
      <c r="C12" s="98" t="inlineStr">
        <is>
          <t>DAILY COMFORT</t>
        </is>
      </c>
      <c r="D12" s="98" t="inlineStr">
        <is>
          <t>Smoothie</t>
        </is>
      </c>
      <c r="E12" s="98" t="inlineStr">
        <is>
          <t>16oz</t>
        </is>
      </c>
      <c r="F12" s="98" t="inlineStr">
        <is>
          <t>Strawberry 40g + Banana 50g + Apple juice 100ml + Yogurt 15g + Date</t>
        </is>
      </c>
      <c r="G12" s="99" t="n">
        <v>88</v>
      </c>
      <c r="H12" s="99" t="n">
        <v>24</v>
      </c>
      <c r="I12" s="100">
        <f>IFERROR((G12-H12)/G12,0)</f>
        <v/>
      </c>
      <c r="J12" s="98" t="inlineStr">
        <is>
          <t>All entry</t>
        </is>
      </c>
      <c r="K12" s="98" t="inlineStr">
        <is>
          <t>All day</t>
        </is>
      </c>
    </row>
    <row r="13" ht="30" customHeight="1" s="61">
      <c r="A13" s="83" t="n">
        <v>12</v>
      </c>
      <c r="B13" s="83" t="inlineStr">
        <is>
          <t>GLOW UP</t>
        </is>
      </c>
      <c r="C13" s="83" t="inlineStr">
        <is>
          <t>UNSTOPPABLE GLOW</t>
        </is>
      </c>
      <c r="D13" s="83" t="inlineStr">
        <is>
          <t>Smoothie</t>
        </is>
      </c>
      <c r="E13" s="83" t="inlineStr">
        <is>
          <t>16oz</t>
        </is>
      </c>
      <c r="F13" s="83" t="inlineStr">
        <is>
          <t>Strawberry (frozen) 105g + Banana (frozen) 75g + Beetroot Powder 1.5tsp + Date 22g + Oat Milk 180ml</t>
        </is>
      </c>
      <c r="G13" s="84" t="n">
        <v>108</v>
      </c>
      <c r="H13" s="84" t="n">
        <v>51</v>
      </c>
      <c r="I13" s="85">
        <f>IFERROR((G13-H13)/G13,0)</f>
        <v/>
      </c>
      <c r="J13" s="83" t="inlineStr">
        <is>
          <t>Wellness Mom</t>
        </is>
      </c>
      <c r="K13" s="83" t="inlineStr">
        <is>
          <t>All day</t>
        </is>
      </c>
    </row>
    <row r="14" ht="30" customHeight="1" s="61">
      <c r="A14" s="98" t="n">
        <v>13</v>
      </c>
      <c r="B14" s="98" t="inlineStr">
        <is>
          <t>YOU DESERVE IT</t>
        </is>
      </c>
      <c r="C14" s="98" t="inlineStr">
        <is>
          <t>WORTHY MOMENT</t>
        </is>
      </c>
      <c r="D14" s="98" t="inlineStr">
        <is>
          <t>Smoothie</t>
        </is>
      </c>
      <c r="E14" s="98" t="inlineStr">
        <is>
          <t>16oz</t>
        </is>
      </c>
      <c r="F14" s="98" t="inlineStr">
        <is>
          <t>Avocado 30g + Almond milk 65ml + Date + Banana + Almond paste + Vanilla</t>
        </is>
      </c>
      <c r="G14" s="99" t="n">
        <v>118</v>
      </c>
      <c r="H14" s="99" t="n">
        <v>36</v>
      </c>
      <c r="I14" s="100">
        <f>IFERROR((G14-H14)/G14,0)</f>
        <v/>
      </c>
      <c r="J14" s="98" t="inlineStr">
        <is>
          <t>Office Nut, Mom</t>
        </is>
      </c>
      <c r="K14" s="98" t="inlineStr">
        <is>
          <t>Afternoon</t>
        </is>
      </c>
    </row>
    <row r="15" ht="30" customHeight="1" s="61">
      <c r="A15" s="83" t="n">
        <v>14</v>
      </c>
      <c r="B15" s="83" t="inlineStr">
        <is>
          <t>HIGH VIBE</t>
        </is>
      </c>
      <c r="C15" s="83" t="inlineStr">
        <is>
          <t>VIBRANT ASCENSION</t>
        </is>
      </c>
      <c r="D15" s="83" t="inlineStr">
        <is>
          <t>Smoothie</t>
        </is>
      </c>
      <c r="E15" s="83" t="inlineStr">
        <is>
          <t>16oz</t>
        </is>
      </c>
      <c r="F15" s="83" t="inlineStr">
        <is>
          <t>Cacao 1tsp + Banana 40g + Raspberry 20g + Yogurt + Date + Almond milk</t>
        </is>
      </c>
      <c r="G15" s="84" t="n">
        <v>118</v>
      </c>
      <c r="H15" s="84" t="n">
        <v>36</v>
      </c>
      <c r="I15" s="85">
        <f>IFERROR((G15-H15)/G15,0)</f>
        <v/>
      </c>
      <c r="J15" s="83" t="inlineStr">
        <is>
          <t>Fitness</t>
        </is>
      </c>
      <c r="K15" s="83" t="inlineStr">
        <is>
          <t>Post-workout</t>
        </is>
      </c>
    </row>
    <row r="16" ht="30" customHeight="1" s="61">
      <c r="A16" s="98" t="n">
        <v>15</v>
      </c>
      <c r="B16" s="98" t="inlineStr">
        <is>
          <t>TOP FORM</t>
        </is>
      </c>
      <c r="C16" s="98" t="inlineStr">
        <is>
          <t>ZENITH REFRESH</t>
        </is>
      </c>
      <c r="D16" s="98" t="inlineStr">
        <is>
          <t>Smoothie Premium</t>
        </is>
      </c>
      <c r="E16" s="98" t="inlineStr">
        <is>
          <t>16oz</t>
        </is>
      </c>
      <c r="F16" s="98" t="inlineStr">
        <is>
          <t>Peach 15g + Mango 80g + Strawberry + Apple juice + Yogurt + Camu 1pint</t>
        </is>
      </c>
      <c r="G16" s="99" t="n">
        <v>128</v>
      </c>
      <c r="H16" s="99" t="n">
        <v>38</v>
      </c>
      <c r="I16" s="100">
        <f>IFERROR((G16-H16)/G16,0)</f>
        <v/>
      </c>
      <c r="J16" s="98" t="inlineStr">
        <is>
          <t>Wellness Mom</t>
        </is>
      </c>
      <c r="K16" s="98" t="inlineStr">
        <is>
          <t>All day</t>
        </is>
      </c>
    </row>
    <row r="17" ht="30" customHeight="1" s="61">
      <c r="A17" s="83" t="n">
        <v>16</v>
      </c>
      <c r="B17" s="83" t="inlineStr">
        <is>
          <t>THINK SHARP</t>
        </is>
      </c>
      <c r="C17" s="83" t="inlineStr">
        <is>
          <t>PURE FOCUS</t>
        </is>
      </c>
      <c r="D17" s="83" t="inlineStr">
        <is>
          <t>Smoothie</t>
        </is>
      </c>
      <c r="E17" s="83" t="inlineStr">
        <is>
          <t>16oz</t>
        </is>
      </c>
      <c r="F17" s="83" t="inlineStr">
        <is>
          <t>Matcha 1tsp + Banana 60g + Spinach 20g + Oat milk + Apple juice + Date + Cinnamon</t>
        </is>
      </c>
      <c r="G17" s="84" t="n">
        <v>108</v>
      </c>
      <c r="H17" s="84" t="n">
        <v>28</v>
      </c>
      <c r="I17" s="85">
        <f>IFERROR((G17-H17)/G17,0)</f>
        <v/>
      </c>
      <c r="J17" s="83" t="inlineStr">
        <is>
          <t>Office Nut, Students</t>
        </is>
      </c>
      <c r="K17" s="83" t="inlineStr">
        <is>
          <t>Morning-Mid</t>
        </is>
      </c>
    </row>
    <row r="18" ht="30" customHeight="1" s="61">
      <c r="A18" s="98" t="n">
        <v>17</v>
      </c>
      <c r="B18" s="98" t="inlineStr">
        <is>
          <t>STAY SUNNY</t>
        </is>
      </c>
      <c r="C18" s="98" t="inlineStr">
        <is>
          <t>TROPICAL PRIDE</t>
        </is>
      </c>
      <c r="D18" s="98" t="inlineStr">
        <is>
          <t>Smoothie</t>
        </is>
      </c>
      <c r="E18" s="98" t="inlineStr">
        <is>
          <t>16oz</t>
        </is>
      </c>
      <c r="F18" s="98" t="inlineStr">
        <is>
          <t>Pineapple 60g + Mango 40g + Passion Fruit 10g + Apple juice 90ml + Yogurt + Lemon zest</t>
        </is>
      </c>
      <c r="G18" s="99" t="n">
        <v>98</v>
      </c>
      <c r="H18" s="99" t="n">
        <v>19</v>
      </c>
      <c r="I18" s="100">
        <f>IFERROR((G18-H18)/G18,0)</f>
        <v/>
      </c>
      <c r="J18" s="98" t="inlineStr">
        <is>
          <t>Tourist</t>
        </is>
      </c>
      <c r="K18" s="98" t="inlineStr">
        <is>
          <t>All day</t>
        </is>
      </c>
    </row>
    <row r="19" ht="30" customHeight="1" s="61">
      <c r="A19" s="83" t="n">
        <v>18</v>
      </c>
      <c r="B19" s="83" t="inlineStr">
        <is>
          <t>STAY FRESH</t>
        </is>
      </c>
      <c r="C19" s="83" t="inlineStr">
        <is>
          <t>GO FRESH</t>
        </is>
      </c>
      <c r="D19" s="83" t="inlineStr">
        <is>
          <t>Smoothie</t>
        </is>
      </c>
      <c r="E19" s="83" t="inlineStr">
        <is>
          <t>16oz</t>
        </is>
      </c>
      <c r="F19" s="83" t="inlineStr">
        <is>
          <t>Guava 50g + Green Apple 25g + Lime + Honey + Apple juice + Spinach 10g</t>
        </is>
      </c>
      <c r="G19" s="84" t="n">
        <v>98</v>
      </c>
      <c r="H19" s="84" t="n">
        <v>16</v>
      </c>
      <c r="I19" s="85">
        <f>IFERROR((G19-H19)/G19,0)</f>
        <v/>
      </c>
      <c r="J19" s="83" t="inlineStr">
        <is>
          <t>Health-conscious</t>
        </is>
      </c>
      <c r="K19" s="83" t="inlineStr">
        <is>
          <t>All day</t>
        </is>
      </c>
    </row>
    <row r="20" ht="30" customHeight="1" s="61">
      <c r="A20" s="98" t="n">
        <v>19</v>
      </c>
      <c r="B20" s="98" t="inlineStr">
        <is>
          <t>GROW STRONG</t>
        </is>
      </c>
      <c r="C20" s="98" t="inlineStr">
        <is>
          <t>POWER UP (Vegan)</t>
        </is>
      </c>
      <c r="D20" s="98" t="inlineStr">
        <is>
          <t>Smoothie</t>
        </is>
      </c>
      <c r="E20" s="98" t="inlineStr">
        <is>
          <t>16oz</t>
        </is>
      </c>
      <c r="F20" s="98" t="inlineStr">
        <is>
          <t>Banana 70g + Strawberry 40g + Mixed berry + Date + Peanut butter + Oat milk + Chia</t>
        </is>
      </c>
      <c r="G20" s="99" t="n">
        <v>108</v>
      </c>
      <c r="H20" s="99" t="n">
        <v>30</v>
      </c>
      <c r="I20" s="100">
        <f>IFERROR((G20-H20)/G20,0)</f>
        <v/>
      </c>
      <c r="J20" s="98" t="inlineStr">
        <is>
          <t>Vegan, Fitness</t>
        </is>
      </c>
      <c r="K20" s="98" t="inlineStr">
        <is>
          <t>Post-workout</t>
        </is>
      </c>
    </row>
    <row r="21" ht="30" customHeight="1" s="61">
      <c r="A21" s="83" t="n">
        <v>20</v>
      </c>
      <c r="B21" s="83" t="inlineStr">
        <is>
          <t>GO GREEN</t>
        </is>
      </c>
      <c r="C21" s="83" t="inlineStr">
        <is>
          <t>GREEN VIBE</t>
        </is>
      </c>
      <c r="D21" s="83" t="inlineStr">
        <is>
          <t>Smoothie</t>
        </is>
      </c>
      <c r="E21" s="83" t="inlineStr">
        <is>
          <t>16oz</t>
        </is>
      </c>
      <c r="F21" s="83" t="inlineStr">
        <is>
          <t>Kale Powder 1.5tsp + Pineapple 42g + Mango 28g + Banana 42g + Coconut Water 140ml + Honey 3/4tsp + Date 7g + Lime 1.5tsp</t>
        </is>
      </c>
      <c r="G21" s="84" t="n">
        <v>98</v>
      </c>
      <c r="H21" s="84" t="n">
        <v>29</v>
      </c>
      <c r="I21" s="85">
        <f>IFERROR((G21-H21)/G21,0)</f>
        <v/>
      </c>
      <c r="J21" s="83" t="inlineStr">
        <is>
          <t>Wellness Mom</t>
        </is>
      </c>
      <c r="K21" s="83" t="inlineStr">
        <is>
          <t>All day</t>
        </is>
      </c>
    </row>
    <row r="22" ht="30" customHeight="1" s="61">
      <c r="A22" s="98" t="n">
        <v>21</v>
      </c>
      <c r="B22" s="98" t="inlineStr">
        <is>
          <t>WARM UP</t>
        </is>
      </c>
      <c r="C22" s="98" t="inlineStr">
        <is>
          <t>TROPICAL HEAT</t>
        </is>
      </c>
      <c r="D22" s="98" t="inlineStr">
        <is>
          <t>Smoothie</t>
        </is>
      </c>
      <c r="E22" s="98" t="inlineStr">
        <is>
          <t>16oz</t>
        </is>
      </c>
      <c r="F22" s="98" t="inlineStr">
        <is>
          <t>Pineapple 40g + Strawberry 20g + Yogurt + Apple juice + Turmeric + Ginger + Honey</t>
        </is>
      </c>
      <c r="G22" s="99" t="n">
        <v>98</v>
      </c>
      <c r="H22" s="99" t="n">
        <v>21</v>
      </c>
      <c r="I22" s="100">
        <f>IFERROR((G22-H22)/G22,0)</f>
        <v/>
      </c>
      <c r="J22" s="98" t="inlineStr">
        <is>
          <t>Wellness Mom</t>
        </is>
      </c>
      <c r="K22" s="98" t="inlineStr">
        <is>
          <t>All day</t>
        </is>
      </c>
    </row>
    <row r="23" ht="30" customHeight="1" s="61">
      <c r="A23" s="83" t="n">
        <v>22</v>
      </c>
      <c r="B23" s="83" t="inlineStr">
        <is>
          <t>PURE JOY</t>
        </is>
      </c>
      <c r="C23" s="83" t="inlineStr">
        <is>
          <t>PURE STRENGTH (Cacao)</t>
        </is>
      </c>
      <c r="D23" s="83" t="inlineStr">
        <is>
          <t>Smoothie</t>
        </is>
      </c>
      <c r="E23" s="83" t="inlineStr">
        <is>
          <t>16oz</t>
        </is>
      </c>
      <c r="F23" s="83" t="inlineStr">
        <is>
          <t>Cacao 1tsp + Banana 40g + Almond butter + Date + Almond milk + Avocado + Vanilla</t>
        </is>
      </c>
      <c r="G23" s="84" t="n">
        <v>108</v>
      </c>
      <c r="H23" s="84" t="n">
        <v>25</v>
      </c>
      <c r="I23" s="85">
        <f>IFERROR((G23-H23)/G23,0)</f>
        <v/>
      </c>
      <c r="J23" s="83" t="inlineStr">
        <is>
          <t>Cacao lovers</t>
        </is>
      </c>
      <c r="K23" s="83" t="inlineStr">
        <is>
          <t>Afternoon</t>
        </is>
      </c>
    </row>
    <row r="24" ht="22" customHeight="1" s="61">
      <c r="A24" s="463" t="n">
        <v>23</v>
      </c>
      <c r="B24" s="464" t="inlineStr">
        <is>
          <t>COOL WAVE</t>
        </is>
      </c>
      <c r="C24" s="465" t="inlineStr">
        <is>
          <t>SUMMER SERENITY</t>
        </is>
      </c>
      <c r="D24" s="463" t="inlineStr">
        <is>
          <t>Smoothie</t>
        </is>
      </c>
      <c r="E24" s="463" t="inlineStr">
        <is>
          <t>16oz</t>
        </is>
      </c>
      <c r="F24" s="466" t="inlineStr">
        <is>
          <t>Watermelon (frozen) 150g + Watermelon (fresh) 100g + Strawberry (frozen) 30g + Coconut water 30ml + Lime juice + Lemon zest + Mint</t>
        </is>
      </c>
      <c r="G24" s="467" t="n">
        <v>98</v>
      </c>
      <c r="H24" s="467" t="n">
        <v>22</v>
      </c>
      <c r="I24" s="468">
        <f>IFERROR((G24-H24)/G24,0)</f>
        <v/>
      </c>
      <c r="J24" s="465" t="inlineStr">
        <is>
          <t>Tourist, All</t>
        </is>
      </c>
      <c r="K24" s="465" t="inlineStr">
        <is>
          <t>All day</t>
        </is>
      </c>
    </row>
    <row r="25" ht="30" customHeight="1" s="61">
      <c r="A25" s="90" t="n">
        <v>24</v>
      </c>
      <c r="B25" s="90" t="inlineStr">
        <is>
          <t>GREEN GO</t>
        </is>
      </c>
      <c r="C25" s="90" t="inlineStr">
        <is>
          <t>DAILY ESCAPE</t>
        </is>
      </c>
      <c r="D25" s="90" t="inlineStr">
        <is>
          <t>Wrap Plant</t>
        </is>
      </c>
      <c r="E25" s="90" t="inlineStr">
        <is>
          <t>8"</t>
        </is>
      </c>
      <c r="F25" s="90" t="inlineStr">
        <is>
          <t>Tortilla 8" + Hummus 25g + Roasted veg 50g + Spinach + Cucumber + Tomato + Tahini</t>
        </is>
      </c>
      <c r="G25" s="91" t="n">
        <v>99</v>
      </c>
      <c r="H25" s="91" t="n">
        <v>22</v>
      </c>
      <c r="I25" s="92">
        <f>IFERROR((G24-H24)/G24,0)</f>
        <v/>
      </c>
      <c r="J25" s="90" t="inlineStr">
        <is>
          <t>Wellness, Vegan</t>
        </is>
      </c>
      <c r="K25" s="90" t="inlineStr">
        <is>
          <t>Lunch</t>
        </is>
      </c>
    </row>
    <row r="26" ht="30" customHeight="1" s="61">
      <c r="A26" s="83" t="n">
        <v>25</v>
      </c>
      <c r="B26" s="83" t="inlineStr">
        <is>
          <t>POWER UP</t>
        </is>
      </c>
      <c r="C26" s="83" t="inlineStr">
        <is>
          <t>PURE STRENGTH</t>
        </is>
      </c>
      <c r="D26" s="83" t="inlineStr">
        <is>
          <t>Wrap Chicken</t>
        </is>
      </c>
      <c r="E26" s="83" t="inlineStr">
        <is>
          <t>8"</t>
        </is>
      </c>
      <c r="F26" s="83" t="inlineStr">
        <is>
          <t>Tortilla 8" + Grilled chicken 60g + Romaine + Tomato + Cucumber + Pesto-yogurt</t>
        </is>
      </c>
      <c r="G26" s="84" t="n">
        <v>99</v>
      </c>
      <c r="H26" s="84" t="n">
        <v>29</v>
      </c>
      <c r="I26" s="85">
        <f>IFERROR((G25-H25)/G25,0)</f>
        <v/>
      </c>
      <c r="J26" s="83" t="inlineStr">
        <is>
          <t>Office Nut, Fitness</t>
        </is>
      </c>
      <c r="K26" s="83" t="inlineStr">
        <is>
          <t>Lunch</t>
        </is>
      </c>
    </row>
    <row r="27" ht="30" customHeight="1" s="61">
      <c r="A27" s="90" t="n">
        <v>26</v>
      </c>
      <c r="B27" s="90" t="inlineStr">
        <is>
          <t>RIDE FRESH</t>
        </is>
      </c>
      <c r="C27" s="90" t="inlineStr">
        <is>
          <t>OCEAN LIFE</t>
        </is>
      </c>
      <c r="D27" s="90" t="inlineStr">
        <is>
          <t>Wrap Tuna</t>
        </is>
      </c>
      <c r="E27" s="90" t="inlineStr">
        <is>
          <t>8"</t>
        </is>
      </c>
      <c r="F27" s="90" t="inlineStr">
        <is>
          <t>Tortilla 8" + Tuna 40g + Mixed greens + Tomato + Olives + Lemon-mustard</t>
        </is>
      </c>
      <c r="G27" s="91" t="n">
        <v>99</v>
      </c>
      <c r="H27" s="91" t="n">
        <v>37</v>
      </c>
      <c r="I27" s="92">
        <f>IFERROR((G26-H26)/G26,0)</f>
        <v/>
      </c>
      <c r="J27" s="90" t="inlineStr">
        <is>
          <t>Office Nut</t>
        </is>
      </c>
      <c r="K27" s="90" t="inlineStr">
        <is>
          <t>Lunch</t>
        </is>
      </c>
    </row>
    <row r="28">
      <c r="A28" s="83" t="n">
        <v>27</v>
      </c>
      <c r="B28" s="83" t="inlineStr">
        <is>
          <t>TASTE HOME</t>
        </is>
      </c>
      <c r="C28" s="83" t="inlineStr">
        <is>
          <t>ASIAN HUG</t>
        </is>
      </c>
      <c r="D28" s="83" t="inlineStr">
        <is>
          <t>Wrap Thai</t>
        </is>
      </c>
      <c r="E28" s="83" t="inlineStr">
        <is>
          <t>8"</t>
        </is>
      </c>
      <c r="F28" s="83" t="inlineStr">
        <is>
          <t>Tortilla 8" + Thai chicken 50g + Greens + Pomelo + Thai herbs + Spicy Thai dressing</t>
        </is>
      </c>
      <c r="G28" s="84" t="n">
        <v>99</v>
      </c>
      <c r="H28" s="84" t="n">
        <v>33</v>
      </c>
      <c r="I28" s="85">
        <f>IFERROR((G27-H27)/G27,0)</f>
        <v/>
      </c>
      <c r="J28" s="83" t="inlineStr">
        <is>
          <t>Tourist, Local</t>
        </is>
      </c>
      <c r="K28" s="83" t="inlineStr">
        <is>
          <t>All day</t>
        </is>
      </c>
    </row>
    <row r="29" ht="17.35" customHeight="1" s="61"/>
    <row r="30" ht="15" customHeight="1" s="61">
      <c r="A30" s="65" t="inlineStr">
        <is>
          <t>Add-ons + Shots</t>
        </is>
      </c>
    </row>
    <row r="31" ht="15" customHeight="1" s="61">
      <c r="B31" s="101" t="inlineStr">
        <is>
          <t>+ Whey Protein 25g</t>
        </is>
      </c>
      <c r="G31" s="102" t="n">
        <v>28</v>
      </c>
      <c r="H31" s="103" t="n">
        <v>12</v>
      </c>
      <c r="J31" s="104" t="inlineStr">
        <is>
          <t>Pair: HIGH VIBE, TOP FORM</t>
        </is>
      </c>
    </row>
    <row r="32" ht="15" customHeight="1" s="61">
      <c r="B32" s="101" t="inlineStr">
        <is>
          <t>+ Collagen 5g</t>
        </is>
      </c>
      <c r="G32" s="102" t="n">
        <v>25</v>
      </c>
      <c r="H32" s="103" t="n">
        <v>10</v>
      </c>
      <c r="J32" s="104" t="inlineStr">
        <is>
          <t>Pair: GLOW UP, SMILE ON</t>
        </is>
      </c>
    </row>
    <row r="33" ht="15" customHeight="1" s="61">
      <c r="B33" s="101" t="inlineStr">
        <is>
          <t>+ MCT Oil 5ml</t>
        </is>
      </c>
      <c r="G33" s="102" t="n">
        <v>28</v>
      </c>
      <c r="H33" s="103" t="n">
        <v>12</v>
      </c>
      <c r="J33" s="104" t="inlineStr">
        <is>
          <t>Pair: KEEP RISING</t>
        </is>
      </c>
    </row>
    <row r="34" ht="15" customHeight="1" s="61">
      <c r="B34" s="101" t="inlineStr">
        <is>
          <t>+ Spirulina 3g</t>
        </is>
      </c>
      <c r="G34" s="102" t="n">
        <v>18</v>
      </c>
      <c r="H34" s="103" t="n">
        <v>8</v>
      </c>
      <c r="J34" s="104" t="inlineStr">
        <is>
          <t>Pair: MIND CLEAR, RESET DAY</t>
        </is>
      </c>
    </row>
    <row r="35" ht="15" customHeight="1" s="61">
      <c r="B35" s="101" t="inlineStr">
        <is>
          <t>+ Avocado extra (wrap)</t>
        </is>
      </c>
      <c r="G35" s="102" t="n">
        <v>25</v>
      </c>
      <c r="H35" s="103" t="n">
        <v>8</v>
      </c>
      <c r="J35" s="104" t="inlineStr">
        <is>
          <t>Wrap upgrade</t>
        </is>
      </c>
    </row>
    <row r="36" ht="15" customHeight="1" s="61">
      <c r="B36" s="101" t="inlineStr">
        <is>
          <t>+ Extra Chicken (wrap)</t>
        </is>
      </c>
      <c r="G36" s="102" t="n">
        <v>25</v>
      </c>
      <c r="H36" s="103" t="n">
        <v>11</v>
      </c>
      <c r="J36" s="104" t="inlineStr">
        <is>
          <t>Wrap upgrade</t>
        </is>
      </c>
    </row>
    <row r="37" ht="15" customHeight="1" s="61">
      <c r="B37" s="101" t="inlineStr">
        <is>
          <t>Olive Oil drizzle</t>
        </is>
      </c>
      <c r="G37" s="102" t="n">
        <v>0</v>
      </c>
      <c r="H37" s="103" t="n">
        <v>0</v>
      </c>
      <c r="J37" s="104" t="inlineStr">
        <is>
          <t>FREE — Better DNA on cold-press</t>
        </is>
      </c>
    </row>
    <row r="38" ht="15" customHeight="1" s="61">
      <c r="B38" s="101" t="inlineStr">
        <is>
          <t>Ginger Shot 50ml</t>
        </is>
      </c>
      <c r="G38" s="102" t="n">
        <v>58</v>
      </c>
      <c r="H38" s="103" t="n">
        <v>18</v>
      </c>
      <c r="J38" s="104" t="inlineStr">
        <is>
          <t>Standalone wellness shot</t>
        </is>
      </c>
    </row>
    <row r="39">
      <c r="B39" s="101" t="inlineStr">
        <is>
          <t>Kid's Classic 8oz</t>
        </is>
      </c>
      <c r="G39" s="102" t="n">
        <v>68</v>
      </c>
      <c r="H39" s="103" t="n">
        <v>22</v>
      </c>
      <c r="J39" s="104" t="inlineStr">
        <is>
          <t>Family menu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T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61" min="1" max="1"/>
    <col width="10" customWidth="1" style="61" min="2" max="2"/>
    <col width="11" customWidth="1" style="61" min="3" max="3"/>
    <col width="10" customWidth="1" style="61" min="4" max="4"/>
    <col width="10" customWidth="1" style="61" min="5" max="5"/>
    <col width="10" customWidth="1" style="61" min="6" max="6"/>
    <col width="11" customWidth="1" style="61" min="7" max="7"/>
    <col width="10" customWidth="1" style="61" min="8" max="8"/>
    <col width="10" customWidth="1" style="61" min="9" max="9"/>
    <col width="10" customWidth="1" style="61" min="10" max="10"/>
    <col width="10" customWidth="1" style="61" min="11" max="11"/>
    <col width="10" customWidth="1" style="61" min="12" max="12"/>
    <col width="10" customWidth="1" style="61" min="13" max="13"/>
    <col width="10" customWidth="1" style="61" min="14" max="14"/>
    <col width="10" customWidth="1" style="61" min="15" max="15"/>
    <col width="10" customWidth="1" style="61" min="16" max="16"/>
    <col width="10" customWidth="1" style="61" min="17" max="17"/>
    <col width="10" customWidth="1" style="61" min="18" max="18"/>
    <col width="10" customWidth="1" style="61" min="19" max="19"/>
    <col width="10" customWidth="1" style="61" min="20" max="20"/>
  </cols>
  <sheetData>
    <row r="1" ht="28" customHeight="1" s="61">
      <c r="A1" s="591" t="inlineStr">
        <is>
          <t>🍎  BETTER JUICE · Cold-Press Recipe Matrix  ·  ปริมาณส่วนผสม (g / ใบ / ลูก)</t>
        </is>
      </c>
    </row>
    <row r="2" ht="36" customHeight="1" s="61">
      <c r="A2" s="592" t="inlineStr">
        <is>
          <t>เมนู</t>
        </is>
      </c>
      <c r="B2" s="592" t="inlineStr">
        <is>
          <t>🍎 แอปเปิ้ลแดง
Red Apple</t>
        </is>
      </c>
      <c r="C2" s="592" t="inlineStr">
        <is>
          <t>🍏 แอปเปิ้ลเขียว
Green Apple</t>
        </is>
      </c>
      <c r="D2" s="592" t="inlineStr">
        <is>
          <t>🥕 แครอท
Carrot</t>
        </is>
      </c>
      <c r="E2" s="592" t="inlineStr">
        <is>
          <t>🍊 ส้ม
Orange</t>
        </is>
      </c>
      <c r="F2" s="592" t="inlineStr">
        <is>
          <t>🍍 สับปะรด
Pineapple</t>
        </is>
      </c>
      <c r="G2" s="592" t="inlineStr">
        <is>
          <t>🍉 แตงโม
Watermelon</t>
        </is>
      </c>
      <c r="H2" s="592" t="inlineStr">
        <is>
          <t>🥒 แตงกวา
Cucumber</t>
        </is>
      </c>
      <c r="I2" s="592" t="inlineStr">
        <is>
          <t>🌸 เสาวรส
Passion Fruit</t>
        </is>
      </c>
      <c r="J2" s="592" t="inlineStr">
        <is>
          <t>🍋 เลมอน
Lemon</t>
        </is>
      </c>
      <c r="K2" s="592" t="inlineStr">
        <is>
          <t>🟢 มะนาว
Lime</t>
        </is>
      </c>
      <c r="L2" s="592" t="inlineStr">
        <is>
          <t>🌿 ขิงสด
Ginger</t>
        </is>
      </c>
      <c r="M2" s="592" t="inlineStr">
        <is>
          <t>🌱 ขึ้นฉ่าย
Celery</t>
        </is>
      </c>
      <c r="N2" s="592" t="inlineStr">
        <is>
          <t>🥬 เคล
Kale</t>
        </is>
      </c>
      <c r="O2" s="592" t="inlineStr">
        <is>
          <t>🫀 บีทรูท
Beetroot</t>
        </is>
      </c>
      <c r="P2" s="592" t="inlineStr">
        <is>
          <t>🍈 ฝรั่ง
Guava</t>
        </is>
      </c>
      <c r="Q2" s="592" t="inlineStr">
        <is>
          <t>🟣 ทับทิม
Pomegranate</t>
        </is>
      </c>
      <c r="R2" s="592" t="inlineStr">
        <is>
          <t>🌿 สะระแหน่
Mint</t>
        </is>
      </c>
      <c r="S2" s="592" t="inlineStr">
        <is>
          <t>🌿 โหระพา
Sweet Basil</t>
        </is>
      </c>
      <c r="T2" s="592" t="inlineStr">
        <is>
          <t>🧂 เกลือ
Sea Salt</t>
        </is>
      </c>
    </row>
    <row r="3" ht="22" customHeight="1" s="61">
      <c r="A3" s="593" t="inlineStr">
        <is>
          <t>#1  KEEP RISING</t>
        </is>
      </c>
      <c r="B3" s="594" t="inlineStr">
        <is>
          <t>225 g</t>
        </is>
      </c>
      <c r="C3" s="595" t="inlineStr">
        <is>
          <t>–</t>
        </is>
      </c>
      <c r="D3" s="594" t="inlineStr">
        <is>
          <t>96 g</t>
        </is>
      </c>
      <c r="E3" s="595" t="inlineStr">
        <is>
          <t>–</t>
        </is>
      </c>
      <c r="F3" s="595" t="inlineStr">
        <is>
          <t>–</t>
        </is>
      </c>
      <c r="G3" s="595" t="inlineStr">
        <is>
          <t>–</t>
        </is>
      </c>
      <c r="H3" s="595" t="inlineStr">
        <is>
          <t>–</t>
        </is>
      </c>
      <c r="I3" s="595" t="inlineStr">
        <is>
          <t>–</t>
        </is>
      </c>
      <c r="J3" s="595" t="inlineStr">
        <is>
          <t>–</t>
        </is>
      </c>
      <c r="K3" s="594" t="inlineStr">
        <is>
          <t>8 g</t>
        </is>
      </c>
      <c r="L3" s="594" t="inlineStr">
        <is>
          <t>3 g</t>
        </is>
      </c>
      <c r="M3" s="595" t="inlineStr">
        <is>
          <t>–</t>
        </is>
      </c>
      <c r="N3" s="595" t="inlineStr">
        <is>
          <t>–</t>
        </is>
      </c>
      <c r="O3" s="595" t="inlineStr">
        <is>
          <t>–</t>
        </is>
      </c>
      <c r="P3" s="595" t="inlineStr">
        <is>
          <t>–</t>
        </is>
      </c>
      <c r="Q3" s="595" t="inlineStr">
        <is>
          <t>–</t>
        </is>
      </c>
      <c r="R3" s="595" t="inlineStr">
        <is>
          <t>–</t>
        </is>
      </c>
      <c r="S3" s="595" t="inlineStr">
        <is>
          <t>–</t>
        </is>
      </c>
      <c r="T3" s="594" t="inlineStr">
        <is>
          <t>1 หยิบมือ</t>
        </is>
      </c>
    </row>
    <row r="4" ht="22" customHeight="1" s="61">
      <c r="A4" s="593" t="inlineStr">
        <is>
          <t>#2  MIND CLEAR</t>
        </is>
      </c>
      <c r="B4" s="596" t="inlineStr">
        <is>
          <t>–</t>
        </is>
      </c>
      <c r="C4" s="596" t="inlineStr">
        <is>
          <t>–</t>
        </is>
      </c>
      <c r="D4" s="596" t="inlineStr">
        <is>
          <t>–</t>
        </is>
      </c>
      <c r="E4" s="596" t="inlineStr">
        <is>
          <t>–</t>
        </is>
      </c>
      <c r="F4" s="594" t="inlineStr">
        <is>
          <t>168 g</t>
        </is>
      </c>
      <c r="G4" s="596" t="inlineStr">
        <is>
          <t>–</t>
        </is>
      </c>
      <c r="H4" s="594" t="inlineStr">
        <is>
          <t>144 g</t>
        </is>
      </c>
      <c r="I4" s="596" t="inlineStr">
        <is>
          <t>–</t>
        </is>
      </c>
      <c r="J4" s="596" t="inlineStr">
        <is>
          <t>–</t>
        </is>
      </c>
      <c r="K4" s="594" t="inlineStr">
        <is>
          <t>¼ ลูก</t>
        </is>
      </c>
      <c r="L4" s="594" t="inlineStr">
        <is>
          <t>2.4 g</t>
        </is>
      </c>
      <c r="M4" s="594" t="inlineStr">
        <is>
          <t>24 g</t>
        </is>
      </c>
      <c r="N4" s="594" t="inlineStr">
        <is>
          <t>20 g</t>
        </is>
      </c>
      <c r="O4" s="596" t="inlineStr">
        <is>
          <t>–</t>
        </is>
      </c>
      <c r="P4" s="596" t="inlineStr">
        <is>
          <t>–</t>
        </is>
      </c>
      <c r="Q4" s="596" t="inlineStr">
        <is>
          <t>–</t>
        </is>
      </c>
      <c r="R4" s="596" t="inlineStr">
        <is>
          <t>–</t>
        </is>
      </c>
      <c r="S4" s="596" t="inlineStr">
        <is>
          <t>–</t>
        </is>
      </c>
      <c r="T4" s="596" t="inlineStr">
        <is>
          <t>–</t>
        </is>
      </c>
    </row>
    <row r="5" ht="22" customHeight="1" s="61">
      <c r="A5" s="593" t="inlineStr">
        <is>
          <t>#3  SMILE ON</t>
        </is>
      </c>
      <c r="B5" s="595" t="inlineStr">
        <is>
          <t>–</t>
        </is>
      </c>
      <c r="C5" s="595" t="inlineStr">
        <is>
          <t>–</t>
        </is>
      </c>
      <c r="D5" s="594" t="inlineStr">
        <is>
          <t>75 g</t>
        </is>
      </c>
      <c r="E5" s="594" t="inlineStr">
        <is>
          <t>245 g</t>
        </is>
      </c>
      <c r="F5" s="595" t="inlineStr">
        <is>
          <t>–</t>
        </is>
      </c>
      <c r="G5" s="595" t="inlineStr">
        <is>
          <t>–</t>
        </is>
      </c>
      <c r="H5" s="595" t="inlineStr">
        <is>
          <t>–</t>
        </is>
      </c>
      <c r="I5" s="594" t="inlineStr">
        <is>
          <t>55 g</t>
        </is>
      </c>
      <c r="J5" s="595" t="inlineStr">
        <is>
          <t>–</t>
        </is>
      </c>
      <c r="K5" s="595" t="inlineStr">
        <is>
          <t>–</t>
        </is>
      </c>
      <c r="L5" s="595" t="inlineStr">
        <is>
          <t>–</t>
        </is>
      </c>
      <c r="M5" s="594" t="inlineStr">
        <is>
          <t>30 g</t>
        </is>
      </c>
      <c r="N5" s="595" t="inlineStr">
        <is>
          <t>–</t>
        </is>
      </c>
      <c r="O5" s="595" t="inlineStr">
        <is>
          <t>–</t>
        </is>
      </c>
      <c r="P5" s="595" t="inlineStr">
        <is>
          <t>–</t>
        </is>
      </c>
      <c r="Q5" s="595" t="inlineStr">
        <is>
          <t>–</t>
        </is>
      </c>
      <c r="R5" s="595" t="inlineStr">
        <is>
          <t>–</t>
        </is>
      </c>
      <c r="S5" s="595" t="inlineStr">
        <is>
          <t>–</t>
        </is>
      </c>
      <c r="T5" s="594" t="inlineStr">
        <is>
          <t>1 หยิบมือ</t>
        </is>
      </c>
    </row>
    <row r="6" ht="22" customHeight="1" s="61">
      <c r="A6" s="593" t="inlineStr">
        <is>
          <t>#4  FULL POWER</t>
        </is>
      </c>
      <c r="B6" s="596" t="inlineStr">
        <is>
          <t>–</t>
        </is>
      </c>
      <c r="C6" s="596" t="inlineStr">
        <is>
          <t>–</t>
        </is>
      </c>
      <c r="D6" s="596" t="inlineStr">
        <is>
          <t>–</t>
        </is>
      </c>
      <c r="E6" s="596" t="inlineStr">
        <is>
          <t>–</t>
        </is>
      </c>
      <c r="F6" s="594" t="inlineStr">
        <is>
          <t>75 g</t>
        </is>
      </c>
      <c r="G6" s="594" t="inlineStr">
        <is>
          <t>190 g</t>
        </is>
      </c>
      <c r="H6" s="596" t="inlineStr">
        <is>
          <t>–</t>
        </is>
      </c>
      <c r="I6" s="594" t="inlineStr">
        <is>
          <t>30 g</t>
        </is>
      </c>
      <c r="J6" s="596" t="inlineStr">
        <is>
          <t>–</t>
        </is>
      </c>
      <c r="K6" s="594" t="inlineStr">
        <is>
          <t>¼ ลูก</t>
        </is>
      </c>
      <c r="L6" s="596" t="inlineStr">
        <is>
          <t>–</t>
        </is>
      </c>
      <c r="M6" s="596" t="inlineStr">
        <is>
          <t>–</t>
        </is>
      </c>
      <c r="N6" s="596" t="inlineStr">
        <is>
          <t>–</t>
        </is>
      </c>
      <c r="O6" s="596" t="inlineStr">
        <is>
          <t>–</t>
        </is>
      </c>
      <c r="P6" s="596" t="inlineStr">
        <is>
          <t>–</t>
        </is>
      </c>
      <c r="Q6" s="596" t="inlineStr">
        <is>
          <t>–</t>
        </is>
      </c>
      <c r="R6" s="594" t="inlineStr">
        <is>
          <t>2 ใบ</t>
        </is>
      </c>
      <c r="S6" s="596" t="inlineStr">
        <is>
          <t>–</t>
        </is>
      </c>
      <c r="T6" s="594" t="inlineStr">
        <is>
          <t>1 หยิบมือ</t>
        </is>
      </c>
    </row>
    <row r="7" ht="22" customHeight="1" s="61">
      <c r="A7" s="593" t="inlineStr">
        <is>
          <t>#5  KEEP GOING</t>
        </is>
      </c>
      <c r="B7" s="594" t="inlineStr">
        <is>
          <t>180 g</t>
        </is>
      </c>
      <c r="C7" s="595" t="inlineStr">
        <is>
          <t>–</t>
        </is>
      </c>
      <c r="D7" s="594" t="inlineStr">
        <is>
          <t>220 g</t>
        </is>
      </c>
      <c r="E7" s="595" t="inlineStr">
        <is>
          <t>–</t>
        </is>
      </c>
      <c r="F7" s="595" t="inlineStr">
        <is>
          <t>–</t>
        </is>
      </c>
      <c r="G7" s="595" t="inlineStr">
        <is>
          <t>–</t>
        </is>
      </c>
      <c r="H7" s="595" t="inlineStr">
        <is>
          <t>–</t>
        </is>
      </c>
      <c r="I7" s="595" t="inlineStr">
        <is>
          <t>–</t>
        </is>
      </c>
      <c r="J7" s="594" t="inlineStr">
        <is>
          <t>24 g</t>
        </is>
      </c>
      <c r="K7" s="595" t="inlineStr">
        <is>
          <t>–</t>
        </is>
      </c>
      <c r="L7" s="595" t="inlineStr">
        <is>
          <t>–</t>
        </is>
      </c>
      <c r="M7" s="595" t="inlineStr">
        <is>
          <t>–</t>
        </is>
      </c>
      <c r="N7" s="595" t="inlineStr">
        <is>
          <t>–</t>
        </is>
      </c>
      <c r="O7" s="594" t="inlineStr">
        <is>
          <t>18 g</t>
        </is>
      </c>
      <c r="P7" s="595" t="inlineStr">
        <is>
          <t>–</t>
        </is>
      </c>
      <c r="Q7" s="595" t="inlineStr">
        <is>
          <t>–</t>
        </is>
      </c>
      <c r="R7" s="595" t="inlineStr">
        <is>
          <t>–</t>
        </is>
      </c>
      <c r="S7" s="595" t="inlineStr">
        <is>
          <t>–</t>
        </is>
      </c>
      <c r="T7" s="595" t="inlineStr">
        <is>
          <t>–</t>
        </is>
      </c>
    </row>
    <row r="8" ht="22" customHeight="1" s="61">
      <c r="A8" s="593" t="inlineStr">
        <is>
          <t>#6  RESET DAY</t>
        </is>
      </c>
      <c r="B8" s="596" t="inlineStr">
        <is>
          <t>–</t>
        </is>
      </c>
      <c r="C8" s="594" t="inlineStr">
        <is>
          <t>200 g</t>
        </is>
      </c>
      <c r="D8" s="596" t="inlineStr">
        <is>
          <t>–</t>
        </is>
      </c>
      <c r="E8" s="596" t="inlineStr">
        <is>
          <t>–</t>
        </is>
      </c>
      <c r="F8" s="594" t="inlineStr">
        <is>
          <t>90 g</t>
        </is>
      </c>
      <c r="G8" s="596" t="inlineStr">
        <is>
          <t>–</t>
        </is>
      </c>
      <c r="H8" s="596" t="inlineStr">
        <is>
          <t>–</t>
        </is>
      </c>
      <c r="I8" s="596" t="inlineStr">
        <is>
          <t>–</t>
        </is>
      </c>
      <c r="J8" s="596" t="inlineStr">
        <is>
          <t>–</t>
        </is>
      </c>
      <c r="K8" s="594" t="inlineStr">
        <is>
          <t>¼ ลูก</t>
        </is>
      </c>
      <c r="L8" s="596" t="inlineStr">
        <is>
          <t>–</t>
        </is>
      </c>
      <c r="M8" s="594" t="inlineStr">
        <is>
          <t>45 g</t>
        </is>
      </c>
      <c r="N8" s="596" t="inlineStr">
        <is>
          <t>–</t>
        </is>
      </c>
      <c r="O8" s="596" t="inlineStr">
        <is>
          <t>–</t>
        </is>
      </c>
      <c r="P8" s="596" t="inlineStr">
        <is>
          <t>–</t>
        </is>
      </c>
      <c r="Q8" s="596" t="inlineStr">
        <is>
          <t>–</t>
        </is>
      </c>
      <c r="R8" s="596" t="inlineStr">
        <is>
          <t>–</t>
        </is>
      </c>
      <c r="S8" s="594" t="inlineStr">
        <is>
          <t>2 ใบ</t>
        </is>
      </c>
      <c r="T8" s="596" t="inlineStr">
        <is>
          <t>–</t>
        </is>
      </c>
    </row>
    <row r="9" ht="22" customHeight="1" s="61">
      <c r="A9" s="593" t="inlineStr">
        <is>
          <t>#7  STAY SHARP</t>
        </is>
      </c>
      <c r="B9" s="595" t="inlineStr">
        <is>
          <t>–</t>
        </is>
      </c>
      <c r="C9" s="594" t="inlineStr">
        <is>
          <t>140 g</t>
        </is>
      </c>
      <c r="D9" s="595" t="inlineStr">
        <is>
          <t>–</t>
        </is>
      </c>
      <c r="E9" s="595" t="inlineStr">
        <is>
          <t>–</t>
        </is>
      </c>
      <c r="F9" s="595" t="inlineStr">
        <is>
          <t>–</t>
        </is>
      </c>
      <c r="G9" s="595" t="inlineStr">
        <is>
          <t>–</t>
        </is>
      </c>
      <c r="H9" s="594" t="inlineStr">
        <is>
          <t>140 g</t>
        </is>
      </c>
      <c r="I9" s="595" t="inlineStr">
        <is>
          <t>–</t>
        </is>
      </c>
      <c r="J9" s="594" t="inlineStr">
        <is>
          <t>7 g</t>
        </is>
      </c>
      <c r="K9" s="595" t="inlineStr">
        <is>
          <t>–</t>
        </is>
      </c>
      <c r="L9" s="595" t="inlineStr">
        <is>
          <t>–</t>
        </is>
      </c>
      <c r="M9" s="594" t="inlineStr">
        <is>
          <t>18 g</t>
        </is>
      </c>
      <c r="N9" s="594" t="inlineStr">
        <is>
          <t>8 g</t>
        </is>
      </c>
      <c r="O9" s="595" t="inlineStr">
        <is>
          <t>–</t>
        </is>
      </c>
      <c r="P9" s="595" t="inlineStr">
        <is>
          <t>–</t>
        </is>
      </c>
      <c r="Q9" s="595" t="inlineStr">
        <is>
          <t>–</t>
        </is>
      </c>
      <c r="R9" s="594" t="inlineStr">
        <is>
          <t>3–4 ใบ</t>
        </is>
      </c>
      <c r="S9" s="595" t="inlineStr">
        <is>
          <t>–</t>
        </is>
      </c>
      <c r="T9" s="595" t="inlineStr">
        <is>
          <t>–</t>
        </is>
      </c>
    </row>
    <row r="10" ht="22" customHeight="1" s="61">
      <c r="A10" s="593" t="inlineStr">
        <is>
          <t>#8  EASY FLOW</t>
        </is>
      </c>
      <c r="B10" s="594" t="inlineStr">
        <is>
          <t>100 g</t>
        </is>
      </c>
      <c r="C10" s="594" t="inlineStr">
        <is>
          <t>44 g</t>
        </is>
      </c>
      <c r="D10" s="596" t="inlineStr">
        <is>
          <t>–</t>
        </is>
      </c>
      <c r="E10" s="596" t="inlineStr">
        <is>
          <t>–</t>
        </is>
      </c>
      <c r="F10" s="596" t="inlineStr">
        <is>
          <t>–</t>
        </is>
      </c>
      <c r="G10" s="596" t="inlineStr">
        <is>
          <t>–</t>
        </is>
      </c>
      <c r="H10" s="596" t="inlineStr">
        <is>
          <t>–</t>
        </is>
      </c>
      <c r="I10" s="596" t="inlineStr">
        <is>
          <t>–</t>
        </is>
      </c>
      <c r="J10" s="596" t="inlineStr">
        <is>
          <t>–</t>
        </is>
      </c>
      <c r="K10" s="594" t="inlineStr">
        <is>
          <t>¼ ลูก</t>
        </is>
      </c>
      <c r="L10" s="596" t="inlineStr">
        <is>
          <t>–</t>
        </is>
      </c>
      <c r="M10" s="596" t="inlineStr">
        <is>
          <t>–</t>
        </is>
      </c>
      <c r="N10" s="596" t="inlineStr">
        <is>
          <t>–</t>
        </is>
      </c>
      <c r="O10" s="596" t="inlineStr">
        <is>
          <t>–</t>
        </is>
      </c>
      <c r="P10" s="594" t="inlineStr">
        <is>
          <t>165 g</t>
        </is>
      </c>
      <c r="Q10" s="596" t="inlineStr">
        <is>
          <t>–</t>
        </is>
      </c>
      <c r="R10" s="596" t="inlineStr">
        <is>
          <t>–</t>
        </is>
      </c>
      <c r="S10" s="596" t="inlineStr">
        <is>
          <t>–</t>
        </is>
      </c>
      <c r="T10" s="594" t="inlineStr">
        <is>
          <t>2 หยิบมือ</t>
        </is>
      </c>
    </row>
    <row r="11" ht="22" customHeight="1" s="61">
      <c r="A11" s="593" t="inlineStr">
        <is>
          <t>#9  SHINE BRIGHT</t>
        </is>
      </c>
      <c r="B11" s="594" t="inlineStr">
        <is>
          <t>90 g</t>
        </is>
      </c>
      <c r="C11" s="595" t="inlineStr">
        <is>
          <t>–</t>
        </is>
      </c>
      <c r="D11" s="595" t="inlineStr">
        <is>
          <t>–</t>
        </is>
      </c>
      <c r="E11" s="594" t="inlineStr">
        <is>
          <t>160 g</t>
        </is>
      </c>
      <c r="F11" s="594" t="inlineStr">
        <is>
          <t>110 g</t>
        </is>
      </c>
      <c r="G11" s="595" t="inlineStr">
        <is>
          <t>–</t>
        </is>
      </c>
      <c r="H11" s="595" t="inlineStr">
        <is>
          <t>–</t>
        </is>
      </c>
      <c r="I11" s="595" t="inlineStr">
        <is>
          <t>–</t>
        </is>
      </c>
      <c r="J11" s="595" t="inlineStr">
        <is>
          <t>–</t>
        </is>
      </c>
      <c r="K11" s="595" t="inlineStr">
        <is>
          <t>–</t>
        </is>
      </c>
      <c r="L11" s="594" t="inlineStr">
        <is>
          <t>5 g</t>
        </is>
      </c>
      <c r="M11" s="595" t="inlineStr">
        <is>
          <t>–</t>
        </is>
      </c>
      <c r="N11" s="595" t="inlineStr">
        <is>
          <t>–</t>
        </is>
      </c>
      <c r="O11" s="594" t="inlineStr">
        <is>
          <t>50 g</t>
        </is>
      </c>
      <c r="P11" s="595" t="inlineStr">
        <is>
          <t>–</t>
        </is>
      </c>
      <c r="Q11" s="595" t="inlineStr">
        <is>
          <t>–</t>
        </is>
      </c>
      <c r="R11" s="595" t="inlineStr">
        <is>
          <t>–</t>
        </is>
      </c>
      <c r="S11" s="595" t="inlineStr">
        <is>
          <t>–</t>
        </is>
      </c>
      <c r="T11" s="595" t="inlineStr">
        <is>
          <t>–</t>
        </is>
      </c>
    </row>
    <row r="12" ht="22" customHeight="1" s="61">
      <c r="A12" s="593" t="inlineStr">
        <is>
          <t>#10  STAND PROUD</t>
        </is>
      </c>
      <c r="B12" s="596" t="inlineStr">
        <is>
          <t>–</t>
        </is>
      </c>
      <c r="C12" s="594" t="inlineStr">
        <is>
          <t>80 g</t>
        </is>
      </c>
      <c r="D12" s="594" t="inlineStr">
        <is>
          <t>50 g</t>
        </is>
      </c>
      <c r="E12" s="596" t="inlineStr">
        <is>
          <t>–</t>
        </is>
      </c>
      <c r="F12" s="596" t="inlineStr">
        <is>
          <t>–</t>
        </is>
      </c>
      <c r="G12" s="596" t="inlineStr">
        <is>
          <t>–</t>
        </is>
      </c>
      <c r="H12" s="596" t="inlineStr">
        <is>
          <t>–</t>
        </is>
      </c>
      <c r="I12" s="596" t="inlineStr">
        <is>
          <t>–</t>
        </is>
      </c>
      <c r="J12" s="594" t="inlineStr">
        <is>
          <t>⅛ ลูก</t>
        </is>
      </c>
      <c r="K12" s="596" t="inlineStr">
        <is>
          <t>–</t>
        </is>
      </c>
      <c r="L12" s="596" t="inlineStr">
        <is>
          <t>–</t>
        </is>
      </c>
      <c r="M12" s="596" t="inlineStr">
        <is>
          <t>–</t>
        </is>
      </c>
      <c r="N12" s="596" t="inlineStr">
        <is>
          <t>–</t>
        </is>
      </c>
      <c r="O12" s="596" t="inlineStr">
        <is>
          <t>–</t>
        </is>
      </c>
      <c r="P12" s="596" t="inlineStr">
        <is>
          <t>–</t>
        </is>
      </c>
      <c r="Q12" s="594" t="inlineStr">
        <is>
          <t>180 g</t>
        </is>
      </c>
      <c r="R12" s="594" t="inlineStr">
        <is>
          <t>2–3 ใบ</t>
        </is>
      </c>
      <c r="S12" s="596" t="inlineStr">
        <is>
          <t>–</t>
        </is>
      </c>
      <c r="T12" s="596" t="inlineStr">
        <is>
          <t>–</t>
        </is>
      </c>
    </row>
    <row r="13" ht="8" customHeight="1" s="61"/>
    <row r="14" ht="18" customHeight="1" s="61">
      <c r="A14" s="597" t="inlineStr">
        <is>
          <t>หมายเหตุ: ปริมาณข้างต้นเป็นต่อแก้ว (12 oz)  ·  น้ำแข็ง + Cup ไม่แสดงในตาราง  ·  '–' = ไม่ใช้ส่วนผสมนี้</t>
        </is>
      </c>
    </row>
  </sheetData>
  <mergeCells count="2">
    <mergeCell ref="A1:T1"/>
    <mergeCell ref="A14:T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3349"/>
    <outlinePr summaryBelow="1" summaryRight="1"/>
    <pageSetUpPr/>
  </sheetPr>
  <dimension ref="A1:L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61" min="1" max="1"/>
    <col width="12" customWidth="1" style="61" min="2" max="2"/>
    <col width="24" customWidth="1" style="61" min="3" max="3"/>
    <col width="22" customWidth="1" style="61" min="4" max="4"/>
    <col width="12" customWidth="1" style="61" min="5" max="5"/>
    <col width="13" customWidth="1" style="61" min="6" max="6"/>
    <col width="8" customWidth="1" style="61" min="7" max="7"/>
    <col width="14" customWidth="1" style="61" min="8" max="8"/>
    <col width="14" customWidth="1" style="61" min="9" max="9"/>
    <col width="12" customWidth="1" style="61" min="10" max="10"/>
    <col width="12" customWidth="1" style="61" min="11" max="11"/>
    <col width="26" customWidth="1" style="61" min="12" max="12"/>
  </cols>
  <sheetData>
    <row r="1" ht="34" customHeight="1" s="61">
      <c r="A1" s="147" t="inlineStr">
        <is>
          <t>🧾 BETTER JUICE — INGREDIENT LIST  ·  จ่ายตลาด + รับเข้า  (2-Week Launch: 28 พ.ค. – 10 มิ.ย. 2026)</t>
        </is>
      </c>
    </row>
    <row r="2" ht="16" customHeight="1" s="61">
      <c r="A2" s="148" t="inlineStr">
        <is>
          <t>8 หมวด  ·  ❄️ GLOW UP ×1.5 (Strawberry 105g · Banana 75g · Oat Milk 180ml)  ·  GO GREEN ×1.4 (Kale Powder 1.5tsp · Coconut Water 140ml)  ·  กรอก Receiving Log ทุกครั้งรับสินค้า</t>
        </is>
      </c>
    </row>
    <row r="3" ht="32" customHeight="1" s="61">
      <c r="A3" s="149" t="inlineStr">
        <is>
          <t>#</t>
        </is>
      </c>
      <c r="B3" s="149" t="inlineStr">
        <is>
          <t>วัตถุดิบ</t>
        </is>
      </c>
      <c r="C3" s="149" t="inlineStr">
        <is>
          <t>หมวดหมู่</t>
        </is>
      </c>
      <c r="D3" s="149" t="inlineStr">
        <is>
          <t>หน่วย</t>
        </is>
      </c>
      <c r="E3" s="149" t="inlineStr">
        <is>
          <t>Net 2wk</t>
        </is>
      </c>
      <c r="F3" s="149" t="inlineStr">
        <is>
          <t>Buffer %</t>
        </is>
      </c>
      <c r="G3" s="149" t="inlineStr">
        <is>
          <t>ปริมาณสั่ง
(incl. buffer)</t>
        </is>
      </c>
      <c r="H3" s="149" t="inlineStr">
        <is>
          <t>ซื้อทุก</t>
        </is>
      </c>
      <c r="I3" s="149" t="inlineStr">
        <is>
          <t>ราคา/หน่วย ฿</t>
        </is>
      </c>
      <c r="J3" s="149" t="inlineStr">
        <is>
          <t>รวม 2wk ฿</t>
        </is>
      </c>
      <c r="K3" s="149" t="inlineStr">
        <is>
          <t>Supplier</t>
        </is>
      </c>
      <c r="L3" s="149" t="inlineStr">
        <is>
          <t>SKU ที่ใช้</t>
        </is>
      </c>
    </row>
    <row r="4" ht="22" customHeight="1" s="61">
      <c r="A4" s="256" t="inlineStr">
        <is>
          <t xml:space="preserve">  🍎 ผลไม้สด</t>
        </is>
      </c>
    </row>
    <row r="5" ht="20" customHeight="1" s="61">
      <c r="A5" s="530" t="n">
        <v>1</v>
      </c>
      <c r="B5" s="258" t="inlineStr">
        <is>
          <t>Apple (Red / Fuji)</t>
        </is>
      </c>
      <c r="C5" s="531" t="inlineStr">
        <is>
          <t>🍎 ผลไม้สด</t>
        </is>
      </c>
      <c r="D5" s="530" t="inlineStr">
        <is>
          <t>kg</t>
        </is>
      </c>
      <c r="E5" s="532" t="n">
        <v>18.5</v>
      </c>
      <c r="F5" s="530" t="inlineStr">
        <is>
          <t>15%</t>
        </is>
      </c>
      <c r="G5" s="533" t="n">
        <v>21.3</v>
      </c>
      <c r="H5" s="156" t="inlineStr">
        <is>
          <t>ทุกวัน</t>
        </is>
      </c>
      <c r="I5" s="534" t="n">
        <v>55</v>
      </c>
      <c r="J5" s="535" t="n">
        <v>1172</v>
      </c>
      <c r="K5" s="159" t="inlineStr">
        <is>
          <t>ตลาดอยุธยา</t>
        </is>
      </c>
      <c r="L5" s="160" t="inlineStr">
        <is>
          <t>KEEP RISING, KEEP GOING, EASY FLOW, SHINE BRIGHT</t>
        </is>
      </c>
    </row>
    <row r="6" ht="20" customHeight="1" s="61">
      <c r="A6" s="536" t="n">
        <v>2</v>
      </c>
      <c r="B6" s="265" t="inlineStr">
        <is>
          <t>Green Apple (สด)</t>
        </is>
      </c>
      <c r="C6" s="537" t="inlineStr">
        <is>
          <t>🍎 ผลไม้สด</t>
        </is>
      </c>
      <c r="D6" s="536" t="inlineStr">
        <is>
          <t>kg</t>
        </is>
      </c>
      <c r="E6" s="538" t="n">
        <v>7.5</v>
      </c>
      <c r="F6" s="536" t="inlineStr">
        <is>
          <t>15%</t>
        </is>
      </c>
      <c r="G6" s="539" t="n">
        <v>8.6</v>
      </c>
      <c r="H6" s="233" t="inlineStr">
        <is>
          <t>ทุกวัน</t>
        </is>
      </c>
      <c r="I6" s="540" t="n">
        <v>60</v>
      </c>
      <c r="J6" s="541" t="n">
        <v>516</v>
      </c>
      <c r="K6" s="236" t="inlineStr">
        <is>
          <t>ตลาดอยุธยา</t>
        </is>
      </c>
      <c r="L6" s="237" t="inlineStr">
        <is>
          <t>RESET DAY, STAY SHARP, EASY FLOW, STAND PROUD</t>
        </is>
      </c>
    </row>
    <row r="7" ht="20" customHeight="1" s="61">
      <c r="A7" s="530" t="n">
        <v>3</v>
      </c>
      <c r="B7" s="258" t="inlineStr">
        <is>
          <t>Orange</t>
        </is>
      </c>
      <c r="C7" s="531" t="inlineStr">
        <is>
          <t>🍎 ผลไม้สด</t>
        </is>
      </c>
      <c r="D7" s="530" t="inlineStr">
        <is>
          <t>kg</t>
        </is>
      </c>
      <c r="E7" s="532" t="n">
        <v>14</v>
      </c>
      <c r="F7" s="530" t="inlineStr">
        <is>
          <t>15%</t>
        </is>
      </c>
      <c r="G7" s="533" t="n">
        <v>16.1</v>
      </c>
      <c r="H7" s="156" t="inlineStr">
        <is>
          <t>ทุกวัน</t>
        </is>
      </c>
      <c r="I7" s="534" t="n">
        <v>45</v>
      </c>
      <c r="J7" s="535" t="n">
        <v>725</v>
      </c>
      <c r="K7" s="159" t="inlineStr">
        <is>
          <t>ตลาดอยุธยา</t>
        </is>
      </c>
      <c r="L7" s="160" t="inlineStr">
        <is>
          <t>SMILE ON, SHINE BRIGHT</t>
        </is>
      </c>
    </row>
    <row r="8" ht="20" customHeight="1" s="61">
      <c r="A8" s="536" t="n">
        <v>4</v>
      </c>
      <c r="B8" s="265" t="inlineStr">
        <is>
          <t>Pineapple (สด)</t>
        </is>
      </c>
      <c r="C8" s="537" t="inlineStr">
        <is>
          <t>🍎 ผลไม้สด</t>
        </is>
      </c>
      <c r="D8" s="536" t="inlineStr">
        <is>
          <t>kg</t>
        </is>
      </c>
      <c r="E8" s="538" t="n">
        <v>7.5</v>
      </c>
      <c r="F8" s="536" t="inlineStr">
        <is>
          <t>10%</t>
        </is>
      </c>
      <c r="G8" s="539" t="n">
        <v>8.199999999999999</v>
      </c>
      <c r="H8" s="233" t="inlineStr">
        <is>
          <t>ทุกวัน</t>
        </is>
      </c>
      <c r="I8" s="540" t="n">
        <v>45</v>
      </c>
      <c r="J8" s="541" t="n">
        <v>369</v>
      </c>
      <c r="K8" s="236" t="inlineStr">
        <is>
          <t>ตลาดอยุธยา</t>
        </is>
      </c>
      <c r="L8" s="237" t="inlineStr">
        <is>
          <t>MIND CLEAR, FULL POWER, RESET DAY, SHINE BRIGHT (cold-press)</t>
        </is>
      </c>
    </row>
    <row r="9" ht="20" customHeight="1" s="61">
      <c r="A9" s="530" t="n">
        <v>5</v>
      </c>
      <c r="B9" s="258" t="inlineStr">
        <is>
          <t>Watermelon (สด)</t>
        </is>
      </c>
      <c r="C9" s="531" t="inlineStr">
        <is>
          <t>🍎 ผลไม้สด</t>
        </is>
      </c>
      <c r="D9" s="530" t="inlineStr">
        <is>
          <t>kg</t>
        </is>
      </c>
      <c r="E9" s="532" t="n">
        <v>9.5</v>
      </c>
      <c r="F9" s="530" t="inlineStr">
        <is>
          <t>10%</t>
        </is>
      </c>
      <c r="G9" s="533" t="n">
        <v>10.5</v>
      </c>
      <c r="H9" s="156" t="inlineStr">
        <is>
          <t>2×/สัปดาห์</t>
        </is>
      </c>
      <c r="I9" s="534" t="n">
        <v>20</v>
      </c>
      <c r="J9" s="535" t="n">
        <v>210</v>
      </c>
      <c r="K9" s="159" t="inlineStr">
        <is>
          <t>ตลาดอยุธยา</t>
        </is>
      </c>
      <c r="L9" s="160" t="inlineStr">
        <is>
          <t>FULL POWER (cold-press) · COOL WAVE 100g/cup</t>
        </is>
      </c>
    </row>
    <row r="10" ht="20" customHeight="1" s="61">
      <c r="A10" s="536" t="n">
        <v>6</v>
      </c>
      <c r="B10" s="265" t="inlineStr">
        <is>
          <t>Passion Fruit (สด)</t>
        </is>
      </c>
      <c r="C10" s="537" t="inlineStr">
        <is>
          <t>🍎 ผลไม้สด</t>
        </is>
      </c>
      <c r="D10" s="536" t="inlineStr">
        <is>
          <t>kg</t>
        </is>
      </c>
      <c r="E10" s="538" t="n">
        <v>2.5</v>
      </c>
      <c r="F10" s="536" t="inlineStr">
        <is>
          <t>15%</t>
        </is>
      </c>
      <c r="G10" s="539" t="n">
        <v>2.9</v>
      </c>
      <c r="H10" s="233" t="inlineStr">
        <is>
          <t>2×/สัปดาห์</t>
        </is>
      </c>
      <c r="I10" s="540" t="n">
        <v>90</v>
      </c>
      <c r="J10" s="541" t="n">
        <v>261</v>
      </c>
      <c r="K10" s="236" t="inlineStr">
        <is>
          <t>ตลาดอยุธยา</t>
        </is>
      </c>
      <c r="L10" s="237" t="inlineStr">
        <is>
          <t>SMILE ON, FULL POWER (cold-press)</t>
        </is>
      </c>
    </row>
    <row r="11" ht="20" customHeight="1" s="61">
      <c r="A11" s="530" t="n">
        <v>7</v>
      </c>
      <c r="B11" s="258" t="inlineStr">
        <is>
          <t>Lime (มะนาว)</t>
        </is>
      </c>
      <c r="C11" s="531" t="inlineStr">
        <is>
          <t>🍎 ผลไม้สด</t>
        </is>
      </c>
      <c r="D11" s="530" t="inlineStr">
        <is>
          <t>kg</t>
        </is>
      </c>
      <c r="E11" s="532" t="n">
        <v>4.2</v>
      </c>
      <c r="F11" s="530" t="inlineStr">
        <is>
          <t>15%</t>
        </is>
      </c>
      <c r="G11" s="533" t="n">
        <v>4.8</v>
      </c>
      <c r="H11" s="156" t="inlineStr">
        <is>
          <t>ทุกวัน</t>
        </is>
      </c>
      <c r="I11" s="534" t="n">
        <v>35</v>
      </c>
      <c r="J11" s="535" t="n">
        <v>168</v>
      </c>
      <c r="K11" s="159" t="inlineStr">
        <is>
          <t>ตลาดอยุธยา</t>
        </is>
      </c>
      <c r="L11" s="160" t="inlineStr">
        <is>
          <t>หลายเมนู · COOL WAVE</t>
        </is>
      </c>
    </row>
    <row r="12" ht="20" customHeight="1" s="61">
      <c r="A12" s="536" t="n">
        <v>8</v>
      </c>
      <c r="B12" s="265" t="inlineStr">
        <is>
          <t>Lemon (เลมอน)</t>
        </is>
      </c>
      <c r="C12" s="537" t="inlineStr">
        <is>
          <t>🍎 ผลไม้สด</t>
        </is>
      </c>
      <c r="D12" s="536" t="inlineStr">
        <is>
          <t>kg</t>
        </is>
      </c>
      <c r="E12" s="538" t="n">
        <v>1.2</v>
      </c>
      <c r="F12" s="536" t="inlineStr">
        <is>
          <t>15%</t>
        </is>
      </c>
      <c r="G12" s="539" t="n">
        <v>1.4</v>
      </c>
      <c r="H12" s="233" t="inlineStr">
        <is>
          <t>2×/สัปดาห์</t>
        </is>
      </c>
      <c r="I12" s="540" t="n">
        <v>70</v>
      </c>
      <c r="J12" s="541" t="n">
        <v>98</v>
      </c>
      <c r="K12" s="236" t="inlineStr">
        <is>
          <t>ตลาดอยุธยา</t>
        </is>
      </c>
      <c r="L12" s="237" t="inlineStr">
        <is>
          <t>KEEP GOING, STAY SHARP, STAND PROUD · COOL WAVE zest</t>
        </is>
      </c>
    </row>
    <row r="13" ht="20" customHeight="1" s="61">
      <c r="A13" s="530" t="n">
        <v>9</v>
      </c>
      <c r="B13" s="258" t="inlineStr">
        <is>
          <t>Guava (ฝรั่ง สด)</t>
        </is>
      </c>
      <c r="C13" s="531" t="inlineStr">
        <is>
          <t>🍎 ผลไม้สด</t>
        </is>
      </c>
      <c r="D13" s="530" t="inlineStr">
        <is>
          <t>kg</t>
        </is>
      </c>
      <c r="E13" s="532" t="n">
        <v>1</v>
      </c>
      <c r="F13" s="530" t="inlineStr">
        <is>
          <t>10%</t>
        </is>
      </c>
      <c r="G13" s="533" t="n">
        <v>1.1</v>
      </c>
      <c r="H13" s="156" t="inlineStr">
        <is>
          <t>2×/สัปดาห์</t>
        </is>
      </c>
      <c r="I13" s="534" t="n">
        <v>40</v>
      </c>
      <c r="J13" s="535" t="n">
        <v>44</v>
      </c>
      <c r="K13" s="159" t="inlineStr">
        <is>
          <t>ตลาดอยุธยา</t>
        </is>
      </c>
      <c r="L13" s="160" t="inlineStr">
        <is>
          <t>EASY FLOW (cold-press)</t>
        </is>
      </c>
    </row>
    <row r="14" ht="20" customHeight="1" s="61">
      <c r="A14" s="536" t="n">
        <v>10</v>
      </c>
      <c r="B14" s="265" t="inlineStr">
        <is>
          <t>Avocado (สด)</t>
        </is>
      </c>
      <c r="C14" s="537" t="inlineStr">
        <is>
          <t>🍎 ผลไม้สด</t>
        </is>
      </c>
      <c r="D14" s="536" t="inlineStr">
        <is>
          <t>kg</t>
        </is>
      </c>
      <c r="E14" s="538" t="n">
        <v>1</v>
      </c>
      <c r="F14" s="536" t="inlineStr">
        <is>
          <t>10%</t>
        </is>
      </c>
      <c r="G14" s="539" t="n">
        <v>1.1</v>
      </c>
      <c r="H14" s="233" t="inlineStr">
        <is>
          <t>2×/สัปดาห์</t>
        </is>
      </c>
      <c r="I14" s="540" t="n">
        <v>200</v>
      </c>
      <c r="J14" s="541" t="n">
        <v>220</v>
      </c>
      <c r="K14" s="236" t="inlineStr">
        <is>
          <t>ตลาดไท / Import</t>
        </is>
      </c>
      <c r="L14" s="237" t="inlineStr">
        <is>
          <t>YOU DESERVE IT, PURE JOY — ใช้คู่กับเมนูแช่แข็ง</t>
        </is>
      </c>
    </row>
    <row r="15" ht="20" customHeight="1" s="61">
      <c r="A15" s="530" t="n">
        <v>11</v>
      </c>
      <c r="B15" s="258" t="inlineStr">
        <is>
          <t>Pomegranate</t>
        </is>
      </c>
      <c r="C15" s="531" t="inlineStr">
        <is>
          <t>🍎 ผลไม้สด</t>
        </is>
      </c>
      <c r="D15" s="530" t="inlineStr">
        <is>
          <t>kg</t>
        </is>
      </c>
      <c r="E15" s="532" t="n">
        <v>1</v>
      </c>
      <c r="F15" s="530" t="inlineStr">
        <is>
          <t>10%</t>
        </is>
      </c>
      <c r="G15" s="533" t="n">
        <v>1.1</v>
      </c>
      <c r="H15" s="156" t="inlineStr">
        <is>
          <t>1×/สัปดาห์</t>
        </is>
      </c>
      <c r="I15" s="534" t="n">
        <v>180</v>
      </c>
      <c r="J15" s="535" t="n">
        <v>198</v>
      </c>
      <c r="K15" s="159" t="inlineStr">
        <is>
          <t>ตลาดอยุธยา</t>
        </is>
      </c>
      <c r="L15" s="160" t="inlineStr">
        <is>
          <t>STAND PROUD</t>
        </is>
      </c>
    </row>
    <row r="16" ht="20" customHeight="1" s="61">
      <c r="A16" s="536" t="n">
        <v>12</v>
      </c>
      <c r="B16" s="265" t="inlineStr">
        <is>
          <t>Pomelo (ส้มโอ)</t>
        </is>
      </c>
      <c r="C16" s="537" t="inlineStr">
        <is>
          <t>🍎 ผลไม้สด</t>
        </is>
      </c>
      <c r="D16" s="536" t="inlineStr">
        <is>
          <t>pcs</t>
        </is>
      </c>
      <c r="E16" s="538" t="n">
        <v>4</v>
      </c>
      <c r="F16" s="536" t="inlineStr">
        <is>
          <t>10%</t>
        </is>
      </c>
      <c r="G16" s="539" t="n">
        <v>4.4</v>
      </c>
      <c r="H16" s="233" t="inlineStr">
        <is>
          <t>1×/สัปดาห์</t>
        </is>
      </c>
      <c r="I16" s="540" t="n">
        <v>30</v>
      </c>
      <c r="J16" s="541" t="n">
        <v>132</v>
      </c>
      <c r="K16" s="236" t="inlineStr">
        <is>
          <t>ตลาดอยุธยา</t>
        </is>
      </c>
      <c r="L16" s="237" t="inlineStr">
        <is>
          <t>TASTE HOME</t>
        </is>
      </c>
    </row>
    <row r="17" ht="22" customHeight="1" s="61">
      <c r="A17" s="271" t="inlineStr">
        <is>
          <t xml:space="preserve">  🥬 ผักสด &amp; สมุนไพร</t>
        </is>
      </c>
    </row>
    <row r="18" ht="20" customHeight="1" s="61">
      <c r="A18" s="542" t="n">
        <v>13</v>
      </c>
      <c r="B18" s="273" t="inlineStr">
        <is>
          <t>Carrot (แครอท)</t>
        </is>
      </c>
      <c r="C18" s="543" t="inlineStr">
        <is>
          <t>🥬 ผักสด &amp; สมุนไพร</t>
        </is>
      </c>
      <c r="D18" s="542" t="inlineStr">
        <is>
          <t>kg</t>
        </is>
      </c>
      <c r="E18" s="544" t="n">
        <v>15.5</v>
      </c>
      <c r="F18" s="542" t="inlineStr">
        <is>
          <t>15%</t>
        </is>
      </c>
      <c r="G18" s="545" t="n">
        <v>17.8</v>
      </c>
      <c r="H18" s="178" t="inlineStr">
        <is>
          <t>ทุกวัน</t>
        </is>
      </c>
      <c r="I18" s="546" t="n">
        <v>30</v>
      </c>
      <c r="J18" s="547" t="n">
        <v>534</v>
      </c>
      <c r="K18" s="181" t="inlineStr">
        <is>
          <t>ตลาดอยุธยา</t>
        </is>
      </c>
      <c r="L18" s="182" t="inlineStr">
        <is>
          <t>KEEP RISING, SMILE ON, KEEP GOING, STAND PROUD, TASTE HOME</t>
        </is>
      </c>
    </row>
    <row r="19" ht="20" customHeight="1" s="61">
      <c r="A19" s="536" t="n">
        <v>14</v>
      </c>
      <c r="B19" s="279" t="inlineStr">
        <is>
          <t>Cucumber (แตงกวา)</t>
        </is>
      </c>
      <c r="C19" s="537" t="inlineStr">
        <is>
          <t>🥬 ผักสด &amp; สมุนไพร</t>
        </is>
      </c>
      <c r="D19" s="536" t="inlineStr">
        <is>
          <t>kg</t>
        </is>
      </c>
      <c r="E19" s="538" t="n">
        <v>9</v>
      </c>
      <c r="F19" s="536" t="inlineStr">
        <is>
          <t>10%</t>
        </is>
      </c>
      <c r="G19" s="548" t="n">
        <v>9.9</v>
      </c>
      <c r="H19" s="233" t="inlineStr">
        <is>
          <t>ทุกวัน</t>
        </is>
      </c>
      <c r="I19" s="540" t="n">
        <v>30</v>
      </c>
      <c r="J19" s="541" t="n">
        <v>297</v>
      </c>
      <c r="K19" s="236" t="inlineStr">
        <is>
          <t>ตลาดอยุธยา</t>
        </is>
      </c>
      <c r="L19" s="237" t="inlineStr">
        <is>
          <t>MIND CLEAR, STAY SHARP, Wraps</t>
        </is>
      </c>
    </row>
    <row r="20" ht="20" customHeight="1" s="61">
      <c r="A20" s="542" t="n">
        <v>15</v>
      </c>
      <c r="B20" s="273" t="inlineStr">
        <is>
          <t>Celery (ขึ้นฉ่าย)</t>
        </is>
      </c>
      <c r="C20" s="543" t="inlineStr">
        <is>
          <t>🥬 ผักสด &amp; สมุนไพร</t>
        </is>
      </c>
      <c r="D20" s="542" t="inlineStr">
        <is>
          <t>kg</t>
        </is>
      </c>
      <c r="E20" s="544" t="n">
        <v>3.5</v>
      </c>
      <c r="F20" s="542" t="inlineStr">
        <is>
          <t>15%</t>
        </is>
      </c>
      <c r="G20" s="545" t="n">
        <v>4</v>
      </c>
      <c r="H20" s="178" t="inlineStr">
        <is>
          <t>2×/สัปดาห์</t>
        </is>
      </c>
      <c r="I20" s="546" t="n">
        <v>50</v>
      </c>
      <c r="J20" s="547" t="n">
        <v>200</v>
      </c>
      <c r="K20" s="181" t="inlineStr">
        <is>
          <t>ตลาดอยุธยา</t>
        </is>
      </c>
      <c r="L20" s="182" t="inlineStr">
        <is>
          <t>MIND CLEAR, SMILE ON, RESET DAY, STAY SHARP</t>
        </is>
      </c>
    </row>
    <row r="21" ht="20" customHeight="1" s="61">
      <c r="A21" s="536" t="n">
        <v>16</v>
      </c>
      <c r="B21" s="279" t="inlineStr">
        <is>
          <t>Kale (ผักเคล)</t>
        </is>
      </c>
      <c r="C21" s="537" t="inlineStr">
        <is>
          <t>🥬 ผักสด &amp; สมุนไพร</t>
        </is>
      </c>
      <c r="D21" s="536" t="inlineStr">
        <is>
          <t>kg</t>
        </is>
      </c>
      <c r="E21" s="538" t="n">
        <v>1</v>
      </c>
      <c r="F21" s="536" t="inlineStr">
        <is>
          <t>20%</t>
        </is>
      </c>
      <c r="G21" s="548" t="n">
        <v>1.2</v>
      </c>
      <c r="H21" s="233" t="inlineStr">
        <is>
          <t>2×/สัปดาห์</t>
        </is>
      </c>
      <c r="I21" s="540" t="n">
        <v>120</v>
      </c>
      <c r="J21" s="541" t="n">
        <v>144</v>
      </c>
      <c r="K21" s="236" t="inlineStr">
        <is>
          <t>ตลาดอยุธยา</t>
        </is>
      </c>
      <c r="L21" s="237" t="inlineStr">
        <is>
          <t>MIND CLEAR, STAY SHARP</t>
        </is>
      </c>
    </row>
    <row r="22" ht="20" customHeight="1" s="61">
      <c r="A22" s="542" t="n">
        <v>17</v>
      </c>
      <c r="B22" s="273" t="inlineStr">
        <is>
          <t>Spinach (ผักโขม)</t>
        </is>
      </c>
      <c r="C22" s="543" t="inlineStr">
        <is>
          <t>🥬 ผักสด &amp; สมุนไพร</t>
        </is>
      </c>
      <c r="D22" s="542" t="inlineStr">
        <is>
          <t>kg</t>
        </is>
      </c>
      <c r="E22" s="544" t="n">
        <v>0.5</v>
      </c>
      <c r="F22" s="542" t="inlineStr">
        <is>
          <t>20%</t>
        </is>
      </c>
      <c r="G22" s="545" t="n">
        <v>0.6</v>
      </c>
      <c r="H22" s="178" t="inlineStr">
        <is>
          <t>2×/สัปดาห์</t>
        </is>
      </c>
      <c r="I22" s="546" t="n">
        <v>80</v>
      </c>
      <c r="J22" s="547" t="n">
        <v>48</v>
      </c>
      <c r="K22" s="181" t="inlineStr">
        <is>
          <t>ตลาดอยุธยา</t>
        </is>
      </c>
      <c r="L22" s="182" t="inlineStr">
        <is>
          <t>THINK SHARP, STAY FRESH</t>
        </is>
      </c>
    </row>
    <row r="23" ht="20" customHeight="1" s="61">
      <c r="A23" s="536" t="n">
        <v>18</v>
      </c>
      <c r="B23" s="279" t="inlineStr">
        <is>
          <t>Beetroot (หัวบีต)</t>
        </is>
      </c>
      <c r="C23" s="537" t="inlineStr">
        <is>
          <t>🥬 ผักสด &amp; สมุนไพร</t>
        </is>
      </c>
      <c r="D23" s="536" t="inlineStr">
        <is>
          <t>kg</t>
        </is>
      </c>
      <c r="E23" s="538" t="n">
        <v>1.2</v>
      </c>
      <c r="F23" s="536" t="inlineStr">
        <is>
          <t>15%</t>
        </is>
      </c>
      <c r="G23" s="548" t="n">
        <v>1.4</v>
      </c>
      <c r="H23" s="233" t="inlineStr">
        <is>
          <t>1×/สัปดาห์</t>
        </is>
      </c>
      <c r="I23" s="540" t="n">
        <v>80</v>
      </c>
      <c r="J23" s="541" t="n">
        <v>112</v>
      </c>
      <c r="K23" s="236" t="inlineStr">
        <is>
          <t>ตลาดอยุธยา</t>
        </is>
      </c>
      <c r="L23" s="237" t="inlineStr">
        <is>
          <t>KEEP GOING, SHINE BRIGHT</t>
        </is>
      </c>
    </row>
    <row r="24" ht="20" customHeight="1" s="61">
      <c r="A24" s="542" t="n">
        <v>19</v>
      </c>
      <c r="B24" s="273" t="inlineStr">
        <is>
          <t>Ginger (ขิง)</t>
        </is>
      </c>
      <c r="C24" s="543" t="inlineStr">
        <is>
          <t>🥬 ผักสด &amp; สมุนไพร</t>
        </is>
      </c>
      <c r="D24" s="542" t="inlineStr">
        <is>
          <t>kg</t>
        </is>
      </c>
      <c r="E24" s="544" t="n">
        <v>0.5</v>
      </c>
      <c r="F24" s="542" t="inlineStr">
        <is>
          <t>20%</t>
        </is>
      </c>
      <c r="G24" s="545" t="n">
        <v>0.6</v>
      </c>
      <c r="H24" s="178" t="inlineStr">
        <is>
          <t>2×/สัปดาห์</t>
        </is>
      </c>
      <c r="I24" s="546" t="n">
        <v>60</v>
      </c>
      <c r="J24" s="547" t="n">
        <v>36</v>
      </c>
      <c r="K24" s="181" t="inlineStr">
        <is>
          <t>ตลาดอยุธยา</t>
        </is>
      </c>
      <c r="L24" s="182" t="inlineStr">
        <is>
          <t>KEEP RISING, MIND CLEAR, SHINE BRIGHT, THINK SHARP, WARM UP, Ginger Shot</t>
        </is>
      </c>
    </row>
    <row r="25" ht="20" customHeight="1" s="61">
      <c r="A25" s="536" t="n">
        <v>20</v>
      </c>
      <c r="B25" s="279" t="inlineStr">
        <is>
          <t>Mint (สะระแหน่)</t>
        </is>
      </c>
      <c r="C25" s="537" t="inlineStr">
        <is>
          <t>🥬 ผักสด &amp; สมุนไพร</t>
        </is>
      </c>
      <c r="D25" s="536" t="inlineStr">
        <is>
          <t>bunch</t>
        </is>
      </c>
      <c r="E25" s="538" t="n">
        <v>10</v>
      </c>
      <c r="F25" s="536" t="inlineStr">
        <is>
          <t>20%</t>
        </is>
      </c>
      <c r="G25" s="548" t="n">
        <v>12</v>
      </c>
      <c r="H25" s="233" t="inlineStr">
        <is>
          <t>2×/สัปดาห์</t>
        </is>
      </c>
      <c r="I25" s="540" t="n">
        <v>15</v>
      </c>
      <c r="J25" s="541" t="n">
        <v>180</v>
      </c>
      <c r="K25" s="236" t="inlineStr">
        <is>
          <t>ตลาดอยุธยา</t>
        </is>
      </c>
      <c r="L25" s="237" t="inlineStr">
        <is>
          <t>STAY SHARP, STAND PROUD · COOL WAVE 4 ใบ/cup</t>
        </is>
      </c>
    </row>
    <row r="26" ht="20" customHeight="1" s="61">
      <c r="A26" s="542" t="n">
        <v>21</v>
      </c>
      <c r="B26" s="273" t="inlineStr">
        <is>
          <t>Sweet Basil (โหระพา)</t>
        </is>
      </c>
      <c r="C26" s="543" t="inlineStr">
        <is>
          <t>🥬 ผักสด &amp; สมุนไพร</t>
        </is>
      </c>
      <c r="D26" s="542" t="inlineStr">
        <is>
          <t>bunch</t>
        </is>
      </c>
      <c r="E26" s="544" t="n">
        <v>4</v>
      </c>
      <c r="F26" s="542" t="inlineStr">
        <is>
          <t>20%</t>
        </is>
      </c>
      <c r="G26" s="545" t="n">
        <v>4.8</v>
      </c>
      <c r="H26" s="178" t="inlineStr">
        <is>
          <t>2×/สัปดาห์</t>
        </is>
      </c>
      <c r="I26" s="546" t="n">
        <v>15</v>
      </c>
      <c r="J26" s="547" t="n">
        <v>72</v>
      </c>
      <c r="K26" s="181" t="inlineStr">
        <is>
          <t>ตลาดอยุธยา</t>
        </is>
      </c>
      <c r="L26" s="182" t="inlineStr">
        <is>
          <t>RESET DAY</t>
        </is>
      </c>
    </row>
    <row r="27" ht="20" customHeight="1" s="61">
      <c r="A27" s="536" t="n">
        <v>22</v>
      </c>
      <c r="B27" s="279" t="inlineStr">
        <is>
          <t>Romaine / Mixed Greens</t>
        </is>
      </c>
      <c r="C27" s="537" t="inlineStr">
        <is>
          <t>🥬 ผักสด &amp; สมุนไพร</t>
        </is>
      </c>
      <c r="D27" s="536" t="inlineStr">
        <is>
          <t>kg</t>
        </is>
      </c>
      <c r="E27" s="538" t="n">
        <v>1.5</v>
      </c>
      <c r="F27" s="536" t="inlineStr">
        <is>
          <t>15%</t>
        </is>
      </c>
      <c r="G27" s="548" t="n">
        <v>1.7</v>
      </c>
      <c r="H27" s="233" t="inlineStr">
        <is>
          <t>ทุกวัน</t>
        </is>
      </c>
      <c r="I27" s="540" t="n">
        <v>60</v>
      </c>
      <c r="J27" s="541" t="n">
        <v>102</v>
      </c>
      <c r="K27" s="236" t="inlineStr">
        <is>
          <t>ตลาดอยุธยา</t>
        </is>
      </c>
      <c r="L27" s="237" t="inlineStr">
        <is>
          <t>Wraps ทุกประเภท</t>
        </is>
      </c>
    </row>
    <row r="28" ht="20" customHeight="1" s="61">
      <c r="A28" s="542" t="n">
        <v>23</v>
      </c>
      <c r="B28" s="273" t="inlineStr">
        <is>
          <t>Tomato (มะเขือเทศ)</t>
        </is>
      </c>
      <c r="C28" s="543" t="inlineStr">
        <is>
          <t>🥬 ผักสด &amp; สมุนไพร</t>
        </is>
      </c>
      <c r="D28" s="542" t="inlineStr">
        <is>
          <t>kg</t>
        </is>
      </c>
      <c r="E28" s="544" t="n">
        <v>2</v>
      </c>
      <c r="F28" s="542" t="inlineStr">
        <is>
          <t>10%</t>
        </is>
      </c>
      <c r="G28" s="545" t="n">
        <v>2.2</v>
      </c>
      <c r="H28" s="178" t="inlineStr">
        <is>
          <t>ทุกวัน</t>
        </is>
      </c>
      <c r="I28" s="546" t="n">
        <v>40</v>
      </c>
      <c r="J28" s="547" t="n">
        <v>88</v>
      </c>
      <c r="K28" s="181" t="inlineStr">
        <is>
          <t>ตลาดอยุธยา</t>
        </is>
      </c>
      <c r="L28" s="182" t="inlineStr">
        <is>
          <t>Wraps ทุกประเภท</t>
        </is>
      </c>
    </row>
    <row r="29" ht="20" customHeight="1" s="61">
      <c r="A29" s="536" t="n">
        <v>24</v>
      </c>
      <c r="B29" s="279" t="inlineStr">
        <is>
          <t>Thai Herbs (ผักชี/โหระพา)</t>
        </is>
      </c>
      <c r="C29" s="537" t="inlineStr">
        <is>
          <t>🥬 ผักสด &amp; สมุนไพร</t>
        </is>
      </c>
      <c r="D29" s="536" t="inlineStr">
        <is>
          <t>bunch</t>
        </is>
      </c>
      <c r="E29" s="538" t="n">
        <v>6</v>
      </c>
      <c r="F29" s="536" t="inlineStr">
        <is>
          <t>20%</t>
        </is>
      </c>
      <c r="G29" s="548" t="n">
        <v>7.2</v>
      </c>
      <c r="H29" s="233" t="inlineStr">
        <is>
          <t>2×/สัปดาห์</t>
        </is>
      </c>
      <c r="I29" s="540" t="n">
        <v>15</v>
      </c>
      <c r="J29" s="541" t="n">
        <v>108</v>
      </c>
      <c r="K29" s="236" t="inlineStr">
        <is>
          <t>ตลาดอยุธยา</t>
        </is>
      </c>
      <c r="L29" s="237" t="inlineStr">
        <is>
          <t>TASTE HOME</t>
        </is>
      </c>
    </row>
    <row r="30" ht="22" customHeight="1" s="61">
      <c r="A30" s="281" t="inlineStr">
        <is>
          <t xml:space="preserve">  ❄️ แช่แข็ง</t>
        </is>
      </c>
    </row>
    <row r="31" ht="20" customHeight="1" s="61">
      <c r="A31" s="549" t="n">
        <v>25</v>
      </c>
      <c r="B31" s="283" t="inlineStr">
        <is>
          <t>Strawberry (แช่แข็ง)</t>
        </is>
      </c>
      <c r="C31" s="550" t="inlineStr">
        <is>
          <t>❄️ แช่แข็ง</t>
        </is>
      </c>
      <c r="D31" s="549" t="inlineStr">
        <is>
          <t>kg</t>
        </is>
      </c>
      <c r="E31" s="551" t="n">
        <v>8.6</v>
      </c>
      <c r="F31" s="549" t="inlineStr">
        <is>
          <t>10%</t>
        </is>
      </c>
      <c r="G31" s="552" t="n">
        <v>9.5</v>
      </c>
      <c r="H31" s="189" t="inlineStr">
        <is>
          <t>1×/สัปดาห์</t>
        </is>
      </c>
      <c r="I31" s="553" t="n">
        <v>160</v>
      </c>
      <c r="J31" s="554" t="n">
        <v>1520</v>
      </c>
      <c r="K31" s="192" t="inlineStr">
        <is>
          <t>ตลาดไท / Import</t>
        </is>
      </c>
      <c r="L31" s="193" t="inlineStr">
        <is>
          <t>FEEL GOOD, GLOW UP ×1.5 (105g), TOP FORM, GROW STRONG, WARM UP · COOL WAVE 30g/cup</t>
        </is>
      </c>
    </row>
    <row r="32" ht="20" customHeight="1" s="61">
      <c r="A32" s="536" t="n">
        <v>26</v>
      </c>
      <c r="B32" s="289" t="inlineStr">
        <is>
          <t>Banana (แช่แข็ง)</t>
        </is>
      </c>
      <c r="C32" s="537" t="inlineStr">
        <is>
          <t>❄️ แช่แข็ง</t>
        </is>
      </c>
      <c r="D32" s="536" t="inlineStr">
        <is>
          <t>kg</t>
        </is>
      </c>
      <c r="E32" s="538" t="n">
        <v>11.1</v>
      </c>
      <c r="F32" s="536" t="inlineStr">
        <is>
          <t>10%</t>
        </is>
      </c>
      <c r="G32" s="555" t="n">
        <v>12.2</v>
      </c>
      <c r="H32" s="233" t="inlineStr">
        <is>
          <t>2×/สัปดาห์</t>
        </is>
      </c>
      <c r="I32" s="540" t="n">
        <v>25</v>
      </c>
      <c r="J32" s="541" t="n">
        <v>305</v>
      </c>
      <c r="K32" s="236" t="inlineStr">
        <is>
          <t>ตลาดอยุธยา → แช่เอง</t>
        </is>
      </c>
      <c r="L32" s="237" t="inlineStr">
        <is>
          <t>FEEL GOOD, GLOW UP ×1.5 (75g), YOU DESERVE IT, HIGH VIBE, THINK SHARP, GROW STRONG, GO GREEN ×1.4 (42g), PURE JOY</t>
        </is>
      </c>
    </row>
    <row r="33" ht="20" customHeight="1" s="61">
      <c r="A33" s="549" t="n">
        <v>27</v>
      </c>
      <c r="B33" s="283" t="inlineStr">
        <is>
          <t>Mango (แช่แข็ง)</t>
        </is>
      </c>
      <c r="C33" s="550" t="inlineStr">
        <is>
          <t>❄️ แช่แข็ง</t>
        </is>
      </c>
      <c r="D33" s="549" t="inlineStr">
        <is>
          <t>kg</t>
        </is>
      </c>
      <c r="E33" s="551" t="n">
        <v>4.9</v>
      </c>
      <c r="F33" s="549" t="inlineStr">
        <is>
          <t>10%</t>
        </is>
      </c>
      <c r="G33" s="552" t="n">
        <v>5.4</v>
      </c>
      <c r="H33" s="189" t="inlineStr">
        <is>
          <t>1×/สัปดาห์</t>
        </is>
      </c>
      <c r="I33" s="553" t="n">
        <v>80</v>
      </c>
      <c r="J33" s="554" t="n">
        <v>432</v>
      </c>
      <c r="K33" s="192" t="inlineStr">
        <is>
          <t>ตลาดไท / Import</t>
        </is>
      </c>
      <c r="L33" s="193" t="inlineStr">
        <is>
          <t>TOP FORM, STAY SUNNY, GO GREEN</t>
        </is>
      </c>
    </row>
    <row r="34" ht="20" customHeight="1" s="61">
      <c r="A34" s="536" t="n">
        <v>28</v>
      </c>
      <c r="B34" s="289" t="inlineStr">
        <is>
          <t>Watermelon (แช่แข็ง)</t>
        </is>
      </c>
      <c r="C34" s="537" t="inlineStr">
        <is>
          <t>❄️ แช่แข็ง</t>
        </is>
      </c>
      <c r="D34" s="536" t="inlineStr">
        <is>
          <t>kg</t>
        </is>
      </c>
      <c r="E34" s="538" t="n">
        <v>3.8</v>
      </c>
      <c r="F34" s="536" t="inlineStr">
        <is>
          <t>10%</t>
        </is>
      </c>
      <c r="G34" s="555" t="n">
        <v>4.2</v>
      </c>
      <c r="H34" s="233" t="inlineStr">
        <is>
          <t>1×/สัปดาห์</t>
        </is>
      </c>
      <c r="I34" s="540" t="n">
        <v>55</v>
      </c>
      <c r="J34" s="541" t="n">
        <v>231</v>
      </c>
      <c r="K34" s="236" t="inlineStr">
        <is>
          <t>ตลาดไท / Import</t>
        </is>
      </c>
      <c r="L34" s="237" t="inlineStr">
        <is>
          <t>COOL WAVE 150g/cup</t>
        </is>
      </c>
    </row>
    <row r="35" ht="20" customHeight="1" s="61">
      <c r="A35" s="549" t="n">
        <v>29</v>
      </c>
      <c r="B35" s="283" t="inlineStr">
        <is>
          <t>Pineapple (แช่แข็ง)</t>
        </is>
      </c>
      <c r="C35" s="550" t="inlineStr">
        <is>
          <t>❄️ แช่แข็ง</t>
        </is>
      </c>
      <c r="D35" s="549" t="inlineStr">
        <is>
          <t>kg</t>
        </is>
      </c>
      <c r="E35" s="551" t="n">
        <v>3.1</v>
      </c>
      <c r="F35" s="549" t="inlineStr">
        <is>
          <t>10%</t>
        </is>
      </c>
      <c r="G35" s="552" t="n">
        <v>3.4</v>
      </c>
      <c r="H35" s="189" t="inlineStr">
        <is>
          <t>1×/สัปดาห์</t>
        </is>
      </c>
      <c r="I35" s="553" t="n">
        <v>60</v>
      </c>
      <c r="J35" s="554" t="n">
        <v>204</v>
      </c>
      <c r="K35" s="192" t="inlineStr">
        <is>
          <t>ตลาดไท / Import</t>
        </is>
      </c>
      <c r="L35" s="193" t="inlineStr">
        <is>
          <t>STAY SUNNY, GO GREEN, WARM UP</t>
        </is>
      </c>
    </row>
    <row r="36" ht="20" customHeight="1" s="61">
      <c r="A36" s="536" t="n">
        <v>30</v>
      </c>
      <c r="B36" s="289" t="inlineStr">
        <is>
          <t>Passion Fruit Puree</t>
        </is>
      </c>
      <c r="C36" s="537" t="inlineStr">
        <is>
          <t>❄️ แช่แข็ง</t>
        </is>
      </c>
      <c r="D36" s="536" t="inlineStr">
        <is>
          <t>kg</t>
        </is>
      </c>
      <c r="E36" s="538" t="n">
        <v>0.8</v>
      </c>
      <c r="F36" s="536" t="inlineStr">
        <is>
          <t>10%</t>
        </is>
      </c>
      <c r="G36" s="555" t="n">
        <v>0.9</v>
      </c>
      <c r="H36" s="233" t="inlineStr">
        <is>
          <t>1×/สัปดาห์</t>
        </is>
      </c>
      <c r="I36" s="540" t="n">
        <v>180</v>
      </c>
      <c r="J36" s="541" t="n">
        <v>162</v>
      </c>
      <c r="K36" s="236" t="inlineStr">
        <is>
          <t>ตลาดไท / Import</t>
        </is>
      </c>
      <c r="L36" s="237" t="inlineStr">
        <is>
          <t>STAY SUNNY — topping / blend</t>
        </is>
      </c>
    </row>
    <row r="37" ht="20" customHeight="1" s="61">
      <c r="A37" s="549" t="n">
        <v>31</v>
      </c>
      <c r="B37" s="283" t="inlineStr">
        <is>
          <t>Guava (แช่แข็ง)</t>
        </is>
      </c>
      <c r="C37" s="550" t="inlineStr">
        <is>
          <t>❄️ แช่แข็ง</t>
        </is>
      </c>
      <c r="D37" s="549" t="inlineStr">
        <is>
          <t>kg</t>
        </is>
      </c>
      <c r="E37" s="551" t="n">
        <v>1</v>
      </c>
      <c r="F37" s="549" t="inlineStr">
        <is>
          <t>10%</t>
        </is>
      </c>
      <c r="G37" s="552" t="n">
        <v>1.1</v>
      </c>
      <c r="H37" s="189" t="inlineStr">
        <is>
          <t>1×/สัปดาห์</t>
        </is>
      </c>
      <c r="I37" s="553" t="n">
        <v>80</v>
      </c>
      <c r="J37" s="554" t="n">
        <v>88</v>
      </c>
      <c r="K37" s="192" t="inlineStr">
        <is>
          <t>ตลาดไท / Import</t>
        </is>
      </c>
      <c r="L37" s="193" t="inlineStr">
        <is>
          <t>STAY FRESH (smoothie)</t>
        </is>
      </c>
    </row>
    <row r="38" ht="20" customHeight="1" s="61">
      <c r="A38" s="536" t="n">
        <v>32</v>
      </c>
      <c r="B38" s="289" t="inlineStr">
        <is>
          <t>Green Apple (แช่แข็ง)</t>
        </is>
      </c>
      <c r="C38" s="537" t="inlineStr">
        <is>
          <t>❄️ แช่แข็ง</t>
        </is>
      </c>
      <c r="D38" s="536" t="inlineStr">
        <is>
          <t>kg</t>
        </is>
      </c>
      <c r="E38" s="538" t="n">
        <v>0.5</v>
      </c>
      <c r="F38" s="536" t="inlineStr">
        <is>
          <t>10%</t>
        </is>
      </c>
      <c r="G38" s="555" t="n">
        <v>0.6</v>
      </c>
      <c r="H38" s="233" t="inlineStr">
        <is>
          <t>1×/สัปดาห์</t>
        </is>
      </c>
      <c r="I38" s="540" t="n">
        <v>90</v>
      </c>
      <c r="J38" s="541" t="n">
        <v>54</v>
      </c>
      <c r="K38" s="236" t="inlineStr">
        <is>
          <t>ตลาดไท / Import</t>
        </is>
      </c>
      <c r="L38" s="237" t="inlineStr">
        <is>
          <t>STAY FRESH (smoothie)</t>
        </is>
      </c>
    </row>
    <row r="39" ht="20" customHeight="1" s="61">
      <c r="A39" s="549" t="n">
        <v>33</v>
      </c>
      <c r="B39" s="283" t="inlineStr">
        <is>
          <t>Acai (แช่แข็ง)</t>
        </is>
      </c>
      <c r="C39" s="550" t="inlineStr">
        <is>
          <t>❄️ แช่แข็ง</t>
        </is>
      </c>
      <c r="D39" s="549" t="inlineStr">
        <is>
          <t>kg</t>
        </is>
      </c>
      <c r="E39" s="551" t="n">
        <v>1</v>
      </c>
      <c r="F39" s="549" t="inlineStr">
        <is>
          <t>10%</t>
        </is>
      </c>
      <c r="G39" s="552" t="n">
        <v>1.1</v>
      </c>
      <c r="H39" s="189" t="inlineStr">
        <is>
          <t>1×/สัปดาห์</t>
        </is>
      </c>
      <c r="I39" s="553" t="n">
        <v>350</v>
      </c>
      <c r="J39" s="554" t="n">
        <v>385</v>
      </c>
      <c r="K39" s="192" t="inlineStr">
        <is>
          <t>Import / ร้านสุขภาพ</t>
        </is>
      </c>
      <c r="L39" s="193" t="inlineStr">
        <is>
          <t>Future SKU / smoothie bowl</t>
        </is>
      </c>
    </row>
    <row r="40" ht="20" customHeight="1" s="61">
      <c r="A40" s="536" t="n">
        <v>34</v>
      </c>
      <c r="B40" s="289" t="inlineStr">
        <is>
          <t>Raspberry (แช่แข็ง)</t>
        </is>
      </c>
      <c r="C40" s="537" t="inlineStr">
        <is>
          <t>❄️ แช่แข็ง</t>
        </is>
      </c>
      <c r="D40" s="536" t="inlineStr">
        <is>
          <t>kg</t>
        </is>
      </c>
      <c r="E40" s="538" t="n">
        <v>0.5</v>
      </c>
      <c r="F40" s="536" t="inlineStr">
        <is>
          <t>10%</t>
        </is>
      </c>
      <c r="G40" s="555" t="n">
        <v>0.6</v>
      </c>
      <c r="H40" s="233" t="inlineStr">
        <is>
          <t>1×/สัปดาห์</t>
        </is>
      </c>
      <c r="I40" s="540" t="n">
        <v>280</v>
      </c>
      <c r="J40" s="541" t="n">
        <v>168</v>
      </c>
      <c r="K40" s="236" t="inlineStr">
        <is>
          <t>Import / ตลาดไท</t>
        </is>
      </c>
      <c r="L40" s="237" t="inlineStr">
        <is>
          <t>HIGH VIBE</t>
        </is>
      </c>
    </row>
    <row r="41" ht="20" customHeight="1" s="61">
      <c r="A41" s="549" t="n">
        <v>35</v>
      </c>
      <c r="B41" s="283" t="inlineStr">
        <is>
          <t>Mixed Berry (แช่แข็ง)</t>
        </is>
      </c>
      <c r="C41" s="550" t="inlineStr">
        <is>
          <t>❄️ แช่แข็ง</t>
        </is>
      </c>
      <c r="D41" s="549" t="inlineStr">
        <is>
          <t>kg</t>
        </is>
      </c>
      <c r="E41" s="551" t="n">
        <v>0.4</v>
      </c>
      <c r="F41" s="549" t="inlineStr">
        <is>
          <t>10%</t>
        </is>
      </c>
      <c r="G41" s="552" t="n">
        <v>0.4</v>
      </c>
      <c r="H41" s="189" t="inlineStr">
        <is>
          <t>1×/สัปดาห์</t>
        </is>
      </c>
      <c r="I41" s="553" t="n">
        <v>260</v>
      </c>
      <c r="J41" s="554" t="n">
        <v>104</v>
      </c>
      <c r="K41" s="192" t="inlineStr">
        <is>
          <t>Import / ตลาดไท</t>
        </is>
      </c>
      <c r="L41" s="193" t="inlineStr">
        <is>
          <t>GROW STRONG</t>
        </is>
      </c>
    </row>
    <row r="42" ht="20" customHeight="1" s="61">
      <c r="A42" s="536" t="n">
        <v>36</v>
      </c>
      <c r="B42" s="289" t="inlineStr">
        <is>
          <t>Peach (แช่แข็ง)</t>
        </is>
      </c>
      <c r="C42" s="537" t="inlineStr">
        <is>
          <t>❄️ แช่แข็ง</t>
        </is>
      </c>
      <c r="D42" s="536" t="inlineStr">
        <is>
          <t>kg</t>
        </is>
      </c>
      <c r="E42" s="538" t="n">
        <v>0.3</v>
      </c>
      <c r="F42" s="536" t="inlineStr">
        <is>
          <t>10%</t>
        </is>
      </c>
      <c r="G42" s="555" t="n">
        <v>0.3</v>
      </c>
      <c r="H42" s="233" t="inlineStr">
        <is>
          <t>1×/สัปดาห์</t>
        </is>
      </c>
      <c r="I42" s="540" t="n">
        <v>200</v>
      </c>
      <c r="J42" s="541" t="n">
        <v>60</v>
      </c>
      <c r="K42" s="236" t="inlineStr">
        <is>
          <t>Import</t>
        </is>
      </c>
      <c r="L42" s="237" t="inlineStr">
        <is>
          <t>TOP FORM</t>
        </is>
      </c>
    </row>
    <row r="43" ht="22" customHeight="1" s="61">
      <c r="A43" s="291" t="inlineStr">
        <is>
          <t xml:space="preserve">  🥛 นม / น้ำ / น้ำผลไม้</t>
        </is>
      </c>
    </row>
    <row r="44" ht="20" customHeight="1" s="61">
      <c r="A44" s="556" t="n">
        <v>37</v>
      </c>
      <c r="B44" s="293" t="inlineStr">
        <is>
          <t>Oat Milk (นมโอ๊ต)</t>
        </is>
      </c>
      <c r="C44" s="557" t="inlineStr">
        <is>
          <t>🥛 นม / น้ำ / น้ำผลไม้</t>
        </is>
      </c>
      <c r="D44" s="556" t="inlineStr">
        <is>
          <t>litre</t>
        </is>
      </c>
      <c r="E44" s="558" t="n">
        <v>10.3</v>
      </c>
      <c r="F44" s="556" t="inlineStr">
        <is>
          <t>10%</t>
        </is>
      </c>
      <c r="G44" s="559" t="n">
        <v>11.3</v>
      </c>
      <c r="H44" s="200" t="inlineStr">
        <is>
          <t>2×/สัปดาห์</t>
        </is>
      </c>
      <c r="I44" s="560" t="n">
        <v>75</v>
      </c>
      <c r="J44" s="561" t="n">
        <v>848</v>
      </c>
      <c r="K44" s="203" t="inlineStr">
        <is>
          <t>Supplier ท.1</t>
        </is>
      </c>
      <c r="L44" s="204" t="inlineStr">
        <is>
          <t>GLOW UP ×1.5 (180ml), THINK SHARP, GROW STRONG, GO GREEN</t>
        </is>
      </c>
    </row>
    <row r="45" ht="20" customHeight="1" s="61">
      <c r="A45" s="536" t="n">
        <v>38</v>
      </c>
      <c r="B45" s="299" t="inlineStr">
        <is>
          <t>Almond Milk (นมอัลมอนด์)</t>
        </is>
      </c>
      <c r="C45" s="537" t="inlineStr">
        <is>
          <t>🥛 นม / น้ำ / น้ำผลไม้</t>
        </is>
      </c>
      <c r="D45" s="536" t="inlineStr">
        <is>
          <t>litre</t>
        </is>
      </c>
      <c r="E45" s="538" t="n">
        <v>5</v>
      </c>
      <c r="F45" s="536" t="inlineStr">
        <is>
          <t>10%</t>
        </is>
      </c>
      <c r="G45" s="562" t="n">
        <v>5.5</v>
      </c>
      <c r="H45" s="233" t="inlineStr">
        <is>
          <t>2×/สัปดาห์</t>
        </is>
      </c>
      <c r="I45" s="540" t="n">
        <v>90</v>
      </c>
      <c r="J45" s="541" t="n">
        <v>495</v>
      </c>
      <c r="K45" s="236" t="inlineStr">
        <is>
          <t>Supplier ท.1</t>
        </is>
      </c>
      <c r="L45" s="237" t="inlineStr">
        <is>
          <t>YOU DESERVE IT, PURE JOY, HIGH VIBE</t>
        </is>
      </c>
    </row>
    <row r="46" ht="20" customHeight="1" s="61">
      <c r="A46" s="556" t="n">
        <v>39</v>
      </c>
      <c r="B46" s="293" t="inlineStr">
        <is>
          <t>Apple Juice (UHT)</t>
        </is>
      </c>
      <c r="C46" s="557" t="inlineStr">
        <is>
          <t>🥛 นม / น้ำ / น้ำผลไม้</t>
        </is>
      </c>
      <c r="D46" s="556" t="inlineStr">
        <is>
          <t>litre</t>
        </is>
      </c>
      <c r="E46" s="558" t="n">
        <v>12</v>
      </c>
      <c r="F46" s="556" t="inlineStr">
        <is>
          <t>10%</t>
        </is>
      </c>
      <c r="G46" s="559" t="n">
        <v>13.2</v>
      </c>
      <c r="H46" s="200" t="inlineStr">
        <is>
          <t>1×/สัปดาห์</t>
        </is>
      </c>
      <c r="I46" s="560" t="n">
        <v>55</v>
      </c>
      <c r="J46" s="561" t="n">
        <v>726</v>
      </c>
      <c r="K46" s="203" t="inlineStr">
        <is>
          <t>ห้างหรือ Makro</t>
        </is>
      </c>
      <c r="L46" s="204" t="inlineStr">
        <is>
          <t>Smoothies หลายเมนู</t>
        </is>
      </c>
    </row>
    <row r="47" ht="20" customHeight="1" s="61">
      <c r="A47" s="536" t="n">
        <v>40</v>
      </c>
      <c r="B47" s="299" t="inlineStr">
        <is>
          <t>Coconut Water</t>
        </is>
      </c>
      <c r="C47" s="537" t="inlineStr">
        <is>
          <t>🥛 นม / น้ำ / น้ำผลไม้</t>
        </is>
      </c>
      <c r="D47" s="536" t="inlineStr">
        <is>
          <t>litre</t>
        </is>
      </c>
      <c r="E47" s="538" t="n">
        <v>4.8</v>
      </c>
      <c r="F47" s="536" t="inlineStr">
        <is>
          <t>10%</t>
        </is>
      </c>
      <c r="G47" s="562" t="n">
        <v>5.3</v>
      </c>
      <c r="H47" s="233" t="inlineStr">
        <is>
          <t>1×/สัปดาห์</t>
        </is>
      </c>
      <c r="I47" s="540" t="n">
        <v>40</v>
      </c>
      <c r="J47" s="541" t="n">
        <v>212</v>
      </c>
      <c r="K47" s="236" t="inlineStr">
        <is>
          <t>ตลาดอยุธยา</t>
        </is>
      </c>
      <c r="L47" s="237" t="inlineStr">
        <is>
          <t>GO GREEN ×1.4 (140ml/cup) · COOL WAVE 30ml/cup</t>
        </is>
      </c>
    </row>
    <row r="48" ht="20" customHeight="1" s="61">
      <c r="A48" s="556" t="n">
        <v>41</v>
      </c>
      <c r="B48" s="293" t="inlineStr">
        <is>
          <t>Yogurt (plain)</t>
        </is>
      </c>
      <c r="C48" s="557" t="inlineStr">
        <is>
          <t>🥛 นม / น้ำ / น้ำผลไม้</t>
        </is>
      </c>
      <c r="D48" s="556" t="inlineStr">
        <is>
          <t>kg</t>
        </is>
      </c>
      <c r="E48" s="558" t="n">
        <v>4.5</v>
      </c>
      <c r="F48" s="556" t="inlineStr">
        <is>
          <t>10%</t>
        </is>
      </c>
      <c r="G48" s="559" t="n">
        <v>5</v>
      </c>
      <c r="H48" s="200" t="inlineStr">
        <is>
          <t>2×/สัปดาห์</t>
        </is>
      </c>
      <c r="I48" s="560" t="n">
        <v>90</v>
      </c>
      <c r="J48" s="561" t="n">
        <v>450</v>
      </c>
      <c r="K48" s="203" t="inlineStr">
        <is>
          <t>ซุปเปอร์มาร์เก็ต</t>
        </is>
      </c>
      <c r="L48" s="204" t="inlineStr">
        <is>
          <t>FEEL GOOD, HIGH VIBE, STAY SUNNY, TOP FORM, WARM UP, Wraps</t>
        </is>
      </c>
    </row>
    <row r="49" ht="22" customHeight="1" s="61">
      <c r="A49" s="301" t="inlineStr">
        <is>
          <t xml:space="preserve">  🌾 Dry / ผง / เครื่องปรุง</t>
        </is>
      </c>
    </row>
    <row r="50" ht="20" customHeight="1" s="61">
      <c r="A50" s="563" t="n">
        <v>42</v>
      </c>
      <c r="B50" s="303" t="inlineStr">
        <is>
          <t>Date (อินทผาลัม)</t>
        </is>
      </c>
      <c r="C50" s="564" t="inlineStr">
        <is>
          <t>🌾 Dry / ผง / เครื่องปรุง</t>
        </is>
      </c>
      <c r="D50" s="563" t="inlineStr">
        <is>
          <t>kg</t>
        </is>
      </c>
      <c r="E50" s="565" t="n">
        <v>2</v>
      </c>
      <c r="F50" s="563" t="inlineStr">
        <is>
          <t>10%</t>
        </is>
      </c>
      <c r="G50" s="566" t="n">
        <v>2.2</v>
      </c>
      <c r="H50" s="211" t="inlineStr">
        <is>
          <t>1×/สัปดาห์</t>
        </is>
      </c>
      <c r="I50" s="567" t="n">
        <v>160</v>
      </c>
      <c r="J50" s="568" t="n">
        <v>352</v>
      </c>
      <c r="K50" s="214" t="inlineStr">
        <is>
          <t>Makro / ร้านสุขภาพ</t>
        </is>
      </c>
      <c r="L50" s="215" t="inlineStr">
        <is>
          <t>Smoothies หลายเมนู</t>
        </is>
      </c>
    </row>
    <row r="51" ht="20" customHeight="1" s="61">
      <c r="A51" s="536" t="n">
        <v>43</v>
      </c>
      <c r="B51" s="309" t="inlineStr">
        <is>
          <t>Matcha Grade A</t>
        </is>
      </c>
      <c r="C51" s="537" t="inlineStr">
        <is>
          <t>🌾 Dry / ผง / เครื่องปรุง</t>
        </is>
      </c>
      <c r="D51" s="536" t="inlineStr">
        <is>
          <t>g</t>
        </is>
      </c>
      <c r="E51" s="538" t="n">
        <v>200</v>
      </c>
      <c r="F51" s="536" t="inlineStr">
        <is>
          <t>20%</t>
        </is>
      </c>
      <c r="G51" s="569" t="n">
        <v>240</v>
      </c>
      <c r="H51" s="233" t="inlineStr">
        <is>
          <t>1×/สัปดาห์</t>
        </is>
      </c>
      <c r="I51" s="540" t="n">
        <v>3.5</v>
      </c>
      <c r="J51" s="541" t="n">
        <v>840</v>
      </c>
      <c r="K51" s="236" t="inlineStr">
        <is>
          <t>Supplier ท.1</t>
        </is>
      </c>
      <c r="L51" s="237" t="inlineStr">
        <is>
          <t>THINK SHARP</t>
        </is>
      </c>
    </row>
    <row r="52" ht="20" customHeight="1" s="61">
      <c r="A52" s="563" t="n">
        <v>44</v>
      </c>
      <c r="B52" s="303" t="inlineStr">
        <is>
          <t>Cacao Powder</t>
        </is>
      </c>
      <c r="C52" s="564" t="inlineStr">
        <is>
          <t>🌾 Dry / ผง / เครื่องปรุง</t>
        </is>
      </c>
      <c r="D52" s="563" t="inlineStr">
        <is>
          <t>g</t>
        </is>
      </c>
      <c r="E52" s="565" t="n">
        <v>150</v>
      </c>
      <c r="F52" s="563" t="inlineStr">
        <is>
          <t>20%</t>
        </is>
      </c>
      <c r="G52" s="566" t="n">
        <v>180</v>
      </c>
      <c r="H52" s="211" t="inlineStr">
        <is>
          <t>1×/สัปดาห์</t>
        </is>
      </c>
      <c r="I52" s="567" t="n">
        <v>2.5</v>
      </c>
      <c r="J52" s="568" t="n">
        <v>450</v>
      </c>
      <c r="K52" s="214" t="inlineStr">
        <is>
          <t>Makro / ร้านสุขภาพ</t>
        </is>
      </c>
      <c r="L52" s="215" t="inlineStr">
        <is>
          <t>HIGH VIBE, PURE JOY</t>
        </is>
      </c>
    </row>
    <row r="53" ht="20" customHeight="1" s="61">
      <c r="A53" s="536" t="n">
        <v>45</v>
      </c>
      <c r="B53" s="309" t="inlineStr">
        <is>
          <t>Beetroot Powder</t>
        </is>
      </c>
      <c r="C53" s="537" t="inlineStr">
        <is>
          <t>🌾 Dry / ผง / เครื่องปรุง</t>
        </is>
      </c>
      <c r="D53" s="536" t="inlineStr">
        <is>
          <t>g</t>
        </is>
      </c>
      <c r="E53" s="538" t="n">
        <v>185</v>
      </c>
      <c r="F53" s="536" t="inlineStr">
        <is>
          <t>20%</t>
        </is>
      </c>
      <c r="G53" s="569" t="n">
        <v>222</v>
      </c>
      <c r="H53" s="233" t="inlineStr">
        <is>
          <t>1×/สัปดาห์</t>
        </is>
      </c>
      <c r="I53" s="540" t="n">
        <v>2</v>
      </c>
      <c r="J53" s="541" t="n">
        <v>444</v>
      </c>
      <c r="K53" s="236" t="inlineStr">
        <is>
          <t>ร้านสุขภาพ</t>
        </is>
      </c>
      <c r="L53" s="237" t="inlineStr">
        <is>
          <t>GLOW UP ×1.5 (4.5g/cup)</t>
        </is>
      </c>
    </row>
    <row r="54" ht="20" customHeight="1" s="61">
      <c r="A54" s="563" t="n">
        <v>46</v>
      </c>
      <c r="B54" s="303" t="inlineStr">
        <is>
          <t>Kale Powder</t>
        </is>
      </c>
      <c r="C54" s="564" t="inlineStr">
        <is>
          <t>🌾 Dry / ผง / เครื่องปรุง</t>
        </is>
      </c>
      <c r="D54" s="563" t="inlineStr">
        <is>
          <t>g</t>
        </is>
      </c>
      <c r="E54" s="565" t="n">
        <v>140</v>
      </c>
      <c r="F54" s="563" t="inlineStr">
        <is>
          <t>20%</t>
        </is>
      </c>
      <c r="G54" s="566" t="n">
        <v>168</v>
      </c>
      <c r="H54" s="211" t="inlineStr">
        <is>
          <t>1×/สัปดาห์</t>
        </is>
      </c>
      <c r="I54" s="567" t="n">
        <v>3</v>
      </c>
      <c r="J54" s="568" t="n">
        <v>504</v>
      </c>
      <c r="K54" s="214" t="inlineStr">
        <is>
          <t>ร้านสุขภาพ</t>
        </is>
      </c>
      <c r="L54" s="215" t="inlineStr">
        <is>
          <t>GO GREEN ×1.4 (1.5tsp/cup)</t>
        </is>
      </c>
    </row>
    <row r="55" ht="20" customHeight="1" s="61">
      <c r="A55" s="536" t="n">
        <v>47</v>
      </c>
      <c r="B55" s="309" t="inlineStr">
        <is>
          <t>Camu Camu</t>
        </is>
      </c>
      <c r="C55" s="537" t="inlineStr">
        <is>
          <t>🌾 Dry / ผง / เครื่องปรุง</t>
        </is>
      </c>
      <c r="D55" s="536" t="inlineStr">
        <is>
          <t>g</t>
        </is>
      </c>
      <c r="E55" s="538" t="n">
        <v>50</v>
      </c>
      <c r="F55" s="536" t="inlineStr">
        <is>
          <t>20%</t>
        </is>
      </c>
      <c r="G55" s="569" t="n">
        <v>60</v>
      </c>
      <c r="H55" s="233" t="inlineStr">
        <is>
          <t>1×/สัปดาห์</t>
        </is>
      </c>
      <c r="I55" s="540" t="n">
        <v>8</v>
      </c>
      <c r="J55" s="541" t="n">
        <v>480</v>
      </c>
      <c r="K55" s="236" t="inlineStr">
        <is>
          <t>ร้านสุขภาพ</t>
        </is>
      </c>
      <c r="L55" s="237" t="inlineStr">
        <is>
          <t>TOP FORM</t>
        </is>
      </c>
    </row>
    <row r="56" ht="20" customHeight="1" s="61">
      <c r="A56" s="563" t="n">
        <v>48</v>
      </c>
      <c r="B56" s="303" t="inlineStr">
        <is>
          <t>Spirulina</t>
        </is>
      </c>
      <c r="C56" s="564" t="inlineStr">
        <is>
          <t>🌾 Dry / ผง / เครื่องปรุง</t>
        </is>
      </c>
      <c r="D56" s="563" t="inlineStr">
        <is>
          <t>g</t>
        </is>
      </c>
      <c r="E56" s="565" t="n">
        <v>80</v>
      </c>
      <c r="F56" s="563" t="inlineStr">
        <is>
          <t>20%</t>
        </is>
      </c>
      <c r="G56" s="566" t="n">
        <v>96</v>
      </c>
      <c r="H56" s="211" t="inlineStr">
        <is>
          <t>1×/สัปดาห์</t>
        </is>
      </c>
      <c r="I56" s="567" t="n">
        <v>5</v>
      </c>
      <c r="J56" s="568" t="n">
        <v>480</v>
      </c>
      <c r="K56" s="214" t="inlineStr">
        <is>
          <t>ร้านสุขภาพ</t>
        </is>
      </c>
      <c r="L56" s="215" t="inlineStr">
        <is>
          <t>Add-on</t>
        </is>
      </c>
    </row>
    <row r="57" ht="20" customHeight="1" s="61">
      <c r="A57" s="536" t="n">
        <v>49</v>
      </c>
      <c r="B57" s="309" t="inlineStr">
        <is>
          <t>Turmeric Powder</t>
        </is>
      </c>
      <c r="C57" s="537" t="inlineStr">
        <is>
          <t>🌾 Dry / ผง / เครื่องปรุง</t>
        </is>
      </c>
      <c r="D57" s="536" t="inlineStr">
        <is>
          <t>g</t>
        </is>
      </c>
      <c r="E57" s="538" t="n">
        <v>80</v>
      </c>
      <c r="F57" s="536" t="inlineStr">
        <is>
          <t>10%</t>
        </is>
      </c>
      <c r="G57" s="569" t="n">
        <v>88</v>
      </c>
      <c r="H57" s="233" t="inlineStr">
        <is>
          <t>1×/สัปดาห์</t>
        </is>
      </c>
      <c r="I57" s="540" t="n">
        <v>1.5</v>
      </c>
      <c r="J57" s="541" t="n">
        <v>132</v>
      </c>
      <c r="K57" s="236" t="inlineStr">
        <is>
          <t>ตลาด</t>
        </is>
      </c>
      <c r="L57" s="237" t="inlineStr">
        <is>
          <t>WARM UP</t>
        </is>
      </c>
    </row>
    <row r="58" ht="20" customHeight="1" s="61">
      <c r="A58" s="563" t="n">
        <v>50</v>
      </c>
      <c r="B58" s="303" t="inlineStr">
        <is>
          <t>Cinnamon</t>
        </is>
      </c>
      <c r="C58" s="564" t="inlineStr">
        <is>
          <t>🌾 Dry / ผง / เครื่องปรุง</t>
        </is>
      </c>
      <c r="D58" s="563" t="inlineStr">
        <is>
          <t>g</t>
        </is>
      </c>
      <c r="E58" s="565" t="n">
        <v>50</v>
      </c>
      <c r="F58" s="563" t="inlineStr">
        <is>
          <t>10%</t>
        </is>
      </c>
      <c r="G58" s="566" t="n">
        <v>55</v>
      </c>
      <c r="H58" s="211" t="inlineStr">
        <is>
          <t>1×/สัปดาห์</t>
        </is>
      </c>
      <c r="I58" s="567" t="n">
        <v>1.5</v>
      </c>
      <c r="J58" s="568" t="n">
        <v>82</v>
      </c>
      <c r="K58" s="214" t="inlineStr">
        <is>
          <t>ตลาด</t>
        </is>
      </c>
      <c r="L58" s="215" t="inlineStr">
        <is>
          <t>THINK SHARP</t>
        </is>
      </c>
    </row>
    <row r="59" ht="20" customHeight="1" s="61">
      <c r="A59" s="536" t="n">
        <v>51</v>
      </c>
      <c r="B59" s="309" t="inlineStr">
        <is>
          <t>Sea Salt / Pink Salt</t>
        </is>
      </c>
      <c r="C59" s="537" t="inlineStr">
        <is>
          <t>🌾 Dry / ผง / เครื่องปรุง</t>
        </is>
      </c>
      <c r="D59" s="536" t="inlineStr">
        <is>
          <t>g</t>
        </is>
      </c>
      <c r="E59" s="538" t="n">
        <v>300</v>
      </c>
      <c r="F59" s="536" t="inlineStr">
        <is>
          <t>10%</t>
        </is>
      </c>
      <c r="G59" s="569" t="n">
        <v>330</v>
      </c>
      <c r="H59" s="233" t="inlineStr">
        <is>
          <t>1×/2wk</t>
        </is>
      </c>
      <c r="I59" s="540" t="n">
        <v>0.3</v>
      </c>
      <c r="J59" s="541" t="n">
        <v>99</v>
      </c>
      <c r="K59" s="236" t="inlineStr">
        <is>
          <t>ตลาด</t>
        </is>
      </c>
      <c r="L59" s="237" t="inlineStr">
        <is>
          <t>Cold-press หลายเมนู</t>
        </is>
      </c>
    </row>
    <row r="60" ht="20" customHeight="1" s="61">
      <c r="A60" s="563" t="n">
        <v>52</v>
      </c>
      <c r="B60" s="303" t="inlineStr">
        <is>
          <t>Honey (น้ำผึ้ง)</t>
        </is>
      </c>
      <c r="C60" s="564" t="inlineStr">
        <is>
          <t>🌾 Dry / ผง / เครื่องปรุง</t>
        </is>
      </c>
      <c r="D60" s="563" t="inlineStr">
        <is>
          <t>g</t>
        </is>
      </c>
      <c r="E60" s="565" t="n">
        <v>300</v>
      </c>
      <c r="F60" s="563" t="inlineStr">
        <is>
          <t>10%</t>
        </is>
      </c>
      <c r="G60" s="566" t="n">
        <v>330</v>
      </c>
      <c r="H60" s="211" t="inlineStr">
        <is>
          <t>1×/สัปดาห์</t>
        </is>
      </c>
      <c r="I60" s="567" t="n">
        <v>0.6</v>
      </c>
      <c r="J60" s="568" t="n">
        <v>198</v>
      </c>
      <c r="K60" s="214" t="inlineStr">
        <is>
          <t>ตลาด / ร้านสุขภาพ</t>
        </is>
      </c>
      <c r="L60" s="215" t="inlineStr">
        <is>
          <t>GO GREEN, STAY FRESH, WARM UP</t>
        </is>
      </c>
    </row>
    <row r="61" ht="20" customHeight="1" s="61">
      <c r="A61" s="536" t="n">
        <v>53</v>
      </c>
      <c r="B61" s="309" t="inlineStr">
        <is>
          <t>Almond Butter</t>
        </is>
      </c>
      <c r="C61" s="537" t="inlineStr">
        <is>
          <t>🌾 Dry / ผง / เครื่องปรุง</t>
        </is>
      </c>
      <c r="D61" s="536" t="inlineStr">
        <is>
          <t>g</t>
        </is>
      </c>
      <c r="E61" s="538" t="n">
        <v>400</v>
      </c>
      <c r="F61" s="536" t="inlineStr">
        <is>
          <t>10%</t>
        </is>
      </c>
      <c r="G61" s="569" t="n">
        <v>440</v>
      </c>
      <c r="H61" s="233" t="inlineStr">
        <is>
          <t>1×/สัปดาห์</t>
        </is>
      </c>
      <c r="I61" s="540" t="n">
        <v>2.2</v>
      </c>
      <c r="J61" s="541" t="n">
        <v>968</v>
      </c>
      <c r="K61" s="236" t="inlineStr">
        <is>
          <t>ร้านสุขภาพ</t>
        </is>
      </c>
      <c r="L61" s="237" t="inlineStr">
        <is>
          <t>YOU DESERVE IT, PURE JOY</t>
        </is>
      </c>
    </row>
    <row r="62" ht="20" customHeight="1" s="61">
      <c r="A62" s="563" t="n">
        <v>54</v>
      </c>
      <c r="B62" s="303" t="inlineStr">
        <is>
          <t>Peanut Butter</t>
        </is>
      </c>
      <c r="C62" s="564" t="inlineStr">
        <is>
          <t>🌾 Dry / ผง / เครื่องปรุง</t>
        </is>
      </c>
      <c r="D62" s="563" t="inlineStr">
        <is>
          <t>g</t>
        </is>
      </c>
      <c r="E62" s="565" t="n">
        <v>400</v>
      </c>
      <c r="F62" s="563" t="inlineStr">
        <is>
          <t>10%</t>
        </is>
      </c>
      <c r="G62" s="566" t="n">
        <v>440</v>
      </c>
      <c r="H62" s="211" t="inlineStr">
        <is>
          <t>1×/สัปดาห์</t>
        </is>
      </c>
      <c r="I62" s="567" t="n">
        <v>1.2</v>
      </c>
      <c r="J62" s="568" t="n">
        <v>528</v>
      </c>
      <c r="K62" s="214" t="inlineStr">
        <is>
          <t>Makro</t>
        </is>
      </c>
      <c r="L62" s="215" t="inlineStr">
        <is>
          <t>GROW STRONG</t>
        </is>
      </c>
    </row>
    <row r="63" ht="20" customHeight="1" s="61">
      <c r="A63" s="536" t="n">
        <v>55</v>
      </c>
      <c r="B63" s="309" t="inlineStr">
        <is>
          <t>Chia Seeds</t>
        </is>
      </c>
      <c r="C63" s="537" t="inlineStr">
        <is>
          <t>🌾 Dry / ผง / เครื่องปรุง</t>
        </is>
      </c>
      <c r="D63" s="536" t="inlineStr">
        <is>
          <t>g</t>
        </is>
      </c>
      <c r="E63" s="538" t="n">
        <v>200</v>
      </c>
      <c r="F63" s="536" t="inlineStr">
        <is>
          <t>10%</t>
        </is>
      </c>
      <c r="G63" s="569" t="n">
        <v>220</v>
      </c>
      <c r="H63" s="233" t="inlineStr">
        <is>
          <t>1×/สัปดาห์</t>
        </is>
      </c>
      <c r="I63" s="540" t="n">
        <v>1.8</v>
      </c>
      <c r="J63" s="541" t="n">
        <v>396</v>
      </c>
      <c r="K63" s="236" t="inlineStr">
        <is>
          <t>ร้านสุขภาพ</t>
        </is>
      </c>
      <c r="L63" s="237" t="inlineStr">
        <is>
          <t>GROW STRONG</t>
        </is>
      </c>
    </row>
    <row r="64" ht="20" customHeight="1" s="61">
      <c r="A64" s="563" t="n">
        <v>56</v>
      </c>
      <c r="B64" s="303" t="inlineStr">
        <is>
          <t>Vanilla Extract</t>
        </is>
      </c>
      <c r="C64" s="564" t="inlineStr">
        <is>
          <t>🌾 Dry / ผง / เครื่องปรุง</t>
        </is>
      </c>
      <c r="D64" s="563" t="inlineStr">
        <is>
          <t>ml</t>
        </is>
      </c>
      <c r="E64" s="565" t="n">
        <v>50</v>
      </c>
      <c r="F64" s="563" t="inlineStr">
        <is>
          <t>10%</t>
        </is>
      </c>
      <c r="G64" s="566" t="n">
        <v>55</v>
      </c>
      <c r="H64" s="211" t="inlineStr">
        <is>
          <t>1×/2wk</t>
        </is>
      </c>
      <c r="I64" s="567" t="n">
        <v>1.5</v>
      </c>
      <c r="J64" s="568" t="n">
        <v>82</v>
      </c>
      <c r="K64" s="214" t="inlineStr">
        <is>
          <t>Makro</t>
        </is>
      </c>
      <c r="L64" s="215" t="inlineStr">
        <is>
          <t>YOU DESERVE IT, HIGH VIBE, PURE JOY</t>
        </is>
      </c>
    </row>
    <row r="65" ht="20" customHeight="1" s="61">
      <c r="A65" s="536" t="n">
        <v>57</v>
      </c>
      <c r="B65" s="309" t="inlineStr">
        <is>
          <t>Black Pepper</t>
        </is>
      </c>
      <c r="C65" s="537" t="inlineStr">
        <is>
          <t>🌾 Dry / ผง / เครื่องปรุง</t>
        </is>
      </c>
      <c r="D65" s="536" t="inlineStr">
        <is>
          <t>g</t>
        </is>
      </c>
      <c r="E65" s="538" t="n">
        <v>30</v>
      </c>
      <c r="F65" s="536" t="inlineStr">
        <is>
          <t>10%</t>
        </is>
      </c>
      <c r="G65" s="569" t="n">
        <v>33</v>
      </c>
      <c r="H65" s="233" t="inlineStr">
        <is>
          <t>1×/2wk</t>
        </is>
      </c>
      <c r="I65" s="540" t="n">
        <v>0.5</v>
      </c>
      <c r="J65" s="541" t="n">
        <v>16</v>
      </c>
      <c r="K65" s="236" t="inlineStr">
        <is>
          <t>ตลาด</t>
        </is>
      </c>
      <c r="L65" s="237" t="inlineStr">
        <is>
          <t>WARM UP, RIDE FRESH</t>
        </is>
      </c>
    </row>
    <row r="66" ht="22" customHeight="1" s="61">
      <c r="A66" s="311" t="inlineStr">
        <is>
          <t xml:space="preserve">  💊 Add-ons &amp; Supplements</t>
        </is>
      </c>
    </row>
    <row r="67" ht="20" customHeight="1" s="61">
      <c r="A67" s="570" t="n">
        <v>58</v>
      </c>
      <c r="B67" s="313" t="inlineStr">
        <is>
          <t>Whey Protein</t>
        </is>
      </c>
      <c r="C67" s="571" t="inlineStr">
        <is>
          <t>💊 Add-ons &amp; Supplements</t>
        </is>
      </c>
      <c r="D67" s="570" t="inlineStr">
        <is>
          <t>g</t>
        </is>
      </c>
      <c r="E67" s="572" t="n">
        <v>500</v>
      </c>
      <c r="F67" s="570" t="inlineStr">
        <is>
          <t>10%</t>
        </is>
      </c>
      <c r="G67" s="573" t="n">
        <v>550</v>
      </c>
      <c r="H67" s="222" t="inlineStr">
        <is>
          <t>1×/2wk</t>
        </is>
      </c>
      <c r="I67" s="574" t="n">
        <v>3.5</v>
      </c>
      <c r="J67" s="575" t="n">
        <v>1925</v>
      </c>
      <c r="K67" s="225" t="inlineStr">
        <is>
          <t>Supplier ท.1</t>
        </is>
      </c>
      <c r="L67" s="226" t="inlineStr">
        <is>
          <t>Add-on: HIGH VIBE, TOP FORM</t>
        </is>
      </c>
    </row>
    <row r="68" ht="20" customHeight="1" s="61">
      <c r="A68" s="536" t="n">
        <v>59</v>
      </c>
      <c r="B68" s="319" t="inlineStr">
        <is>
          <t>Collagen Powder</t>
        </is>
      </c>
      <c r="C68" s="537" t="inlineStr">
        <is>
          <t>💊 Add-ons &amp; Supplements</t>
        </is>
      </c>
      <c r="D68" s="536" t="inlineStr">
        <is>
          <t>g</t>
        </is>
      </c>
      <c r="E68" s="538" t="n">
        <v>300</v>
      </c>
      <c r="F68" s="536" t="inlineStr">
        <is>
          <t>10%</t>
        </is>
      </c>
      <c r="G68" s="576" t="n">
        <v>330</v>
      </c>
      <c r="H68" s="233" t="inlineStr">
        <is>
          <t>1×/2wk</t>
        </is>
      </c>
      <c r="I68" s="540" t="n">
        <v>4</v>
      </c>
      <c r="J68" s="541" t="n">
        <v>1320</v>
      </c>
      <c r="K68" s="236" t="inlineStr">
        <is>
          <t>ร้านสุขภาพ</t>
        </is>
      </c>
      <c r="L68" s="237" t="inlineStr">
        <is>
          <t>Add-on: GLOW UP, SMILE ON</t>
        </is>
      </c>
    </row>
    <row r="69" ht="20" customHeight="1" s="61">
      <c r="A69" s="570" t="n">
        <v>60</v>
      </c>
      <c r="B69" s="313" t="inlineStr">
        <is>
          <t>MCT Oil</t>
        </is>
      </c>
      <c r="C69" s="571" t="inlineStr">
        <is>
          <t>💊 Add-ons &amp; Supplements</t>
        </is>
      </c>
      <c r="D69" s="570" t="inlineStr">
        <is>
          <t>ml</t>
        </is>
      </c>
      <c r="E69" s="572" t="n">
        <v>200</v>
      </c>
      <c r="F69" s="570" t="inlineStr">
        <is>
          <t>10%</t>
        </is>
      </c>
      <c r="G69" s="573" t="n">
        <v>220</v>
      </c>
      <c r="H69" s="222" t="inlineStr">
        <is>
          <t>1×/2wk</t>
        </is>
      </c>
      <c r="I69" s="574" t="n">
        <v>3</v>
      </c>
      <c r="J69" s="575" t="n">
        <v>660</v>
      </c>
      <c r="K69" s="225" t="inlineStr">
        <is>
          <t>ร้านสุขภาพ</t>
        </is>
      </c>
      <c r="L69" s="226" t="inlineStr">
        <is>
          <t>Add-on: KEEP RISING</t>
        </is>
      </c>
    </row>
    <row r="70" ht="20" customHeight="1" s="61">
      <c r="A70" s="536" t="n">
        <v>61</v>
      </c>
      <c r="B70" s="319" t="inlineStr">
        <is>
          <t>Olive Oil (Signature)</t>
        </is>
      </c>
      <c r="C70" s="537" t="inlineStr">
        <is>
          <t>💊 Add-ons &amp; Supplements</t>
        </is>
      </c>
      <c r="D70" s="536" t="inlineStr">
        <is>
          <t>ml</t>
        </is>
      </c>
      <c r="E70" s="538" t="n">
        <v>500</v>
      </c>
      <c r="F70" s="536" t="inlineStr">
        <is>
          <t>10%</t>
        </is>
      </c>
      <c r="G70" s="576" t="n">
        <v>550</v>
      </c>
      <c r="H70" s="233" t="inlineStr">
        <is>
          <t>1×/2wk</t>
        </is>
      </c>
      <c r="I70" s="540" t="n">
        <v>0.5</v>
      </c>
      <c r="J70" s="541" t="n">
        <v>275</v>
      </c>
      <c r="K70" s="236" t="inlineStr">
        <is>
          <t>Supplier ท.1</t>
        </is>
      </c>
      <c r="L70" s="237" t="inlineStr">
        <is>
          <t>Better DNA drizzle (Free)</t>
        </is>
      </c>
    </row>
    <row r="71" ht="22" customHeight="1" s="61">
      <c r="A71" s="321" t="inlineStr">
        <is>
          <t xml:space="preserve">  🌯 วัตถุดิบ Wrap</t>
        </is>
      </c>
    </row>
    <row r="72" ht="20" customHeight="1" s="61">
      <c r="A72" s="577" t="n">
        <v>62</v>
      </c>
      <c r="B72" s="323" t="inlineStr">
        <is>
          <t>Whole Wheat Tortilla 8"</t>
        </is>
      </c>
      <c r="C72" s="578" t="inlineStr">
        <is>
          <t>🌯 วัตถุดิบ Wrap</t>
        </is>
      </c>
      <c r="D72" s="577" t="inlineStr">
        <is>
          <t>pcs</t>
        </is>
      </c>
      <c r="E72" s="579" t="n">
        <v>90</v>
      </c>
      <c r="F72" s="577" t="inlineStr">
        <is>
          <t>10%</t>
        </is>
      </c>
      <c r="G72" s="580" t="n">
        <v>99</v>
      </c>
      <c r="H72" s="167" t="inlineStr">
        <is>
          <t>2×/สัปดาห์</t>
        </is>
      </c>
      <c r="I72" s="581" t="n">
        <v>8</v>
      </c>
      <c r="J72" s="582" t="n">
        <v>792</v>
      </c>
      <c r="K72" s="170" t="inlineStr">
        <is>
          <t>Bangkok Import</t>
        </is>
      </c>
      <c r="L72" s="171" t="inlineStr">
        <is>
          <t>GREEN GO, POWER UP, RIDE FRESH, TASTE HOME</t>
        </is>
      </c>
    </row>
    <row r="73" ht="20" customHeight="1" s="61">
      <c r="A73" s="536" t="n">
        <v>63</v>
      </c>
      <c r="B73" s="329" t="inlineStr">
        <is>
          <t>Grilled Chicken Breast</t>
        </is>
      </c>
      <c r="C73" s="537" t="inlineStr">
        <is>
          <t>🌯 วัตถุดิบ Wrap</t>
        </is>
      </c>
      <c r="D73" s="536" t="inlineStr">
        <is>
          <t>kg</t>
        </is>
      </c>
      <c r="E73" s="538" t="n">
        <v>2.5</v>
      </c>
      <c r="F73" s="536" t="inlineStr">
        <is>
          <t>10%</t>
        </is>
      </c>
      <c r="G73" s="583" t="n">
        <v>2.8</v>
      </c>
      <c r="H73" s="233" t="inlineStr">
        <is>
          <t>ทุกวัน</t>
        </is>
      </c>
      <c r="I73" s="540" t="n">
        <v>160</v>
      </c>
      <c r="J73" s="541" t="n">
        <v>448</v>
      </c>
      <c r="K73" s="236" t="inlineStr">
        <is>
          <t>ตลาดสด</t>
        </is>
      </c>
      <c r="L73" s="237" t="inlineStr">
        <is>
          <t>POWER UP, TASTE HOME</t>
        </is>
      </c>
    </row>
    <row r="74" ht="20" customHeight="1" s="61">
      <c r="A74" s="577" t="n">
        <v>64</v>
      </c>
      <c r="B74" s="323" t="inlineStr">
        <is>
          <t>Tuna (น้ำเปล่า ≥140g/can)</t>
        </is>
      </c>
      <c r="C74" s="578" t="inlineStr">
        <is>
          <t>🌯 วัตถุดิบ Wrap</t>
        </is>
      </c>
      <c r="D74" s="577" t="inlineStr">
        <is>
          <t>cans</t>
        </is>
      </c>
      <c r="E74" s="579" t="n">
        <v>14</v>
      </c>
      <c r="F74" s="577" t="inlineStr">
        <is>
          <t>5%</t>
        </is>
      </c>
      <c r="G74" s="580" t="n">
        <v>14.7</v>
      </c>
      <c r="H74" s="167" t="inlineStr">
        <is>
          <t>1×/สัปดาห์</t>
        </is>
      </c>
      <c r="I74" s="581" t="n">
        <v>45</v>
      </c>
      <c r="J74" s="582" t="n">
        <v>662</v>
      </c>
      <c r="K74" s="170" t="inlineStr">
        <is>
          <t>Makro</t>
        </is>
      </c>
      <c r="L74" s="171" t="inlineStr">
        <is>
          <t>RIDE FRESH</t>
        </is>
      </c>
    </row>
    <row r="75" ht="20" customHeight="1" s="61">
      <c r="A75" s="536" t="n">
        <v>65</v>
      </c>
      <c r="B75" s="329" t="inlineStr">
        <is>
          <t>Hummus</t>
        </is>
      </c>
      <c r="C75" s="537" t="inlineStr">
        <is>
          <t>🌯 วัตถุดิบ Wrap</t>
        </is>
      </c>
      <c r="D75" s="536" t="inlineStr">
        <is>
          <t>g</t>
        </is>
      </c>
      <c r="E75" s="538" t="n">
        <v>600</v>
      </c>
      <c r="F75" s="536" t="inlineStr">
        <is>
          <t>10%</t>
        </is>
      </c>
      <c r="G75" s="583" t="n">
        <v>660</v>
      </c>
      <c r="H75" s="233" t="inlineStr">
        <is>
          <t>1×/สัปดาห์</t>
        </is>
      </c>
      <c r="I75" s="540" t="n">
        <v>0.8</v>
      </c>
      <c r="J75" s="541" t="n">
        <v>528</v>
      </c>
      <c r="K75" s="236" t="inlineStr">
        <is>
          <t>ร้านอาหาร / ทำเอง</t>
        </is>
      </c>
      <c r="L75" s="237" t="inlineStr">
        <is>
          <t>GREEN GO</t>
        </is>
      </c>
    </row>
    <row r="76" ht="20" customHeight="1" s="61">
      <c r="A76" s="577" t="n">
        <v>66</v>
      </c>
      <c r="B76" s="323" t="inlineStr">
        <is>
          <t>Roasted Vegetables</t>
        </is>
      </c>
      <c r="C76" s="578" t="inlineStr">
        <is>
          <t>🌯 วัตถุดิบ Wrap</t>
        </is>
      </c>
      <c r="D76" s="577" t="inlineStr">
        <is>
          <t>g</t>
        </is>
      </c>
      <c r="E76" s="579" t="n">
        <v>1200</v>
      </c>
      <c r="F76" s="577" t="inlineStr">
        <is>
          <t>10%</t>
        </is>
      </c>
      <c r="G76" s="580" t="n">
        <v>1320</v>
      </c>
      <c r="H76" s="167" t="inlineStr">
        <is>
          <t>2×/สัปดาห์</t>
        </is>
      </c>
      <c r="I76" s="581" t="n">
        <v>0.3</v>
      </c>
      <c r="J76" s="582" t="n">
        <v>396</v>
      </c>
      <c r="K76" s="170" t="inlineStr">
        <is>
          <t>ทำเอง (Zucchini, Bell pepper)</t>
        </is>
      </c>
      <c r="L76" s="171" t="inlineStr">
        <is>
          <t>GREEN GO</t>
        </is>
      </c>
    </row>
    <row r="77" ht="20" customHeight="1" s="61">
      <c r="A77" s="536" t="n">
        <v>67</v>
      </c>
      <c r="B77" s="329" t="inlineStr">
        <is>
          <t>Pesto / Pesto-Yogurt</t>
        </is>
      </c>
      <c r="C77" s="537" t="inlineStr">
        <is>
          <t>🌯 วัตถุดิบ Wrap</t>
        </is>
      </c>
      <c r="D77" s="536" t="inlineStr">
        <is>
          <t>g</t>
        </is>
      </c>
      <c r="E77" s="538" t="n">
        <v>400</v>
      </c>
      <c r="F77" s="536" t="inlineStr">
        <is>
          <t>10%</t>
        </is>
      </c>
      <c r="G77" s="583" t="n">
        <v>440</v>
      </c>
      <c r="H77" s="233" t="inlineStr">
        <is>
          <t>1×/สัปดาห์</t>
        </is>
      </c>
      <c r="I77" s="540" t="n">
        <v>0.8</v>
      </c>
      <c r="J77" s="541" t="n">
        <v>352</v>
      </c>
      <c r="K77" s="236" t="inlineStr">
        <is>
          <t>ทำเอง / ร้านวัตถุดิบ</t>
        </is>
      </c>
      <c r="L77" s="237" t="inlineStr">
        <is>
          <t>POWER UP</t>
        </is>
      </c>
    </row>
    <row r="78" ht="20" customHeight="1" s="61">
      <c r="A78" s="577" t="n">
        <v>68</v>
      </c>
      <c r="B78" s="323" t="inlineStr">
        <is>
          <t>Tahini</t>
        </is>
      </c>
      <c r="C78" s="578" t="inlineStr">
        <is>
          <t>🌯 วัตถุดิบ Wrap</t>
        </is>
      </c>
      <c r="D78" s="577" t="inlineStr">
        <is>
          <t>g</t>
        </is>
      </c>
      <c r="E78" s="579" t="n">
        <v>200</v>
      </c>
      <c r="F78" s="577" t="inlineStr">
        <is>
          <t>10%</t>
        </is>
      </c>
      <c r="G78" s="580" t="n">
        <v>220</v>
      </c>
      <c r="H78" s="167" t="inlineStr">
        <is>
          <t>1×/2wk</t>
        </is>
      </c>
      <c r="I78" s="581" t="n">
        <v>0.8</v>
      </c>
      <c r="J78" s="582" t="n">
        <v>176</v>
      </c>
      <c r="K78" s="170" t="inlineStr">
        <is>
          <t>ร้านสุขภาพ</t>
        </is>
      </c>
      <c r="L78" s="171" t="inlineStr">
        <is>
          <t>GREEN GO</t>
        </is>
      </c>
    </row>
    <row r="79" ht="20" customHeight="1" s="61">
      <c r="A79" s="536" t="n">
        <v>69</v>
      </c>
      <c r="B79" s="329" t="inlineStr">
        <is>
          <t>Olives</t>
        </is>
      </c>
      <c r="C79" s="537" t="inlineStr">
        <is>
          <t>🌯 วัตถุดิบ Wrap</t>
        </is>
      </c>
      <c r="D79" s="536" t="inlineStr">
        <is>
          <t>g</t>
        </is>
      </c>
      <c r="E79" s="538" t="n">
        <v>200</v>
      </c>
      <c r="F79" s="536" t="inlineStr">
        <is>
          <t>10%</t>
        </is>
      </c>
      <c r="G79" s="583" t="n">
        <v>220</v>
      </c>
      <c r="H79" s="233" t="inlineStr">
        <is>
          <t>1×/สัปดาห์</t>
        </is>
      </c>
      <c r="I79" s="540" t="n">
        <v>1.2</v>
      </c>
      <c r="J79" s="541" t="n">
        <v>264</v>
      </c>
      <c r="K79" s="236" t="inlineStr">
        <is>
          <t>ร้านนำเข้า</t>
        </is>
      </c>
      <c r="L79" s="237" t="inlineStr">
        <is>
          <t>RIDE FRESH</t>
        </is>
      </c>
    </row>
    <row r="80" ht="20" customHeight="1" s="61">
      <c r="A80" s="577" t="n">
        <v>70</v>
      </c>
      <c r="B80" s="323" t="inlineStr">
        <is>
          <t>Spicy Thai Dressing</t>
        </is>
      </c>
      <c r="C80" s="578" t="inlineStr">
        <is>
          <t>🌯 วัตถุดิบ Wrap</t>
        </is>
      </c>
      <c r="D80" s="577" t="inlineStr">
        <is>
          <t>ml</t>
        </is>
      </c>
      <c r="E80" s="579" t="n">
        <v>300</v>
      </c>
      <c r="F80" s="577" t="inlineStr">
        <is>
          <t>10%</t>
        </is>
      </c>
      <c r="G80" s="580" t="n">
        <v>330</v>
      </c>
      <c r="H80" s="167" t="inlineStr">
        <is>
          <t>1×/สัปดาห์</t>
        </is>
      </c>
      <c r="I80" s="581" t="n">
        <v>0.5</v>
      </c>
      <c r="J80" s="582" t="n">
        <v>165</v>
      </c>
      <c r="K80" s="170" t="inlineStr">
        <is>
          <t>ทำเอง</t>
        </is>
      </c>
      <c r="L80" s="171" t="inlineStr">
        <is>
          <t>TASTE HOME</t>
        </is>
      </c>
    </row>
    <row r="81" ht="20" customHeight="1" s="61">
      <c r="A81" s="536" t="n">
        <v>71</v>
      </c>
      <c r="B81" s="329" t="inlineStr">
        <is>
          <t>Lemon-Mustard Dressing</t>
        </is>
      </c>
      <c r="C81" s="537" t="inlineStr">
        <is>
          <t>🌯 วัตถุดิบ Wrap</t>
        </is>
      </c>
      <c r="D81" s="536" t="inlineStr">
        <is>
          <t>ml</t>
        </is>
      </c>
      <c r="E81" s="538" t="n">
        <v>200</v>
      </c>
      <c r="F81" s="536" t="inlineStr">
        <is>
          <t>10%</t>
        </is>
      </c>
      <c r="G81" s="583" t="n">
        <v>220</v>
      </c>
      <c r="H81" s="233" t="inlineStr">
        <is>
          <t>1×/สัปดาห์</t>
        </is>
      </c>
      <c r="I81" s="540" t="n">
        <v>0.5</v>
      </c>
      <c r="J81" s="541" t="n">
        <v>110</v>
      </c>
      <c r="K81" s="236" t="inlineStr">
        <is>
          <t>ทำเอง</t>
        </is>
      </c>
      <c r="L81" s="237" t="inlineStr">
        <is>
          <t>RIDE FRESH</t>
        </is>
      </c>
    </row>
    <row r="82" ht="22" customHeight="1" s="61">
      <c r="A82" s="331" t="inlineStr">
        <is>
          <t xml:space="preserve">  📦 บรรจุภัณฑ์</t>
        </is>
      </c>
    </row>
    <row r="83" ht="20" customHeight="1" s="61">
      <c r="A83" s="584" t="n">
        <v>72</v>
      </c>
      <c r="B83" s="333" t="inlineStr">
        <is>
          <t>Cup 12oz Cold-press (Logo)</t>
        </is>
      </c>
      <c r="C83" s="585" t="inlineStr">
        <is>
          <t>📦 บรรจุภัณฑ์</t>
        </is>
      </c>
      <c r="D83" s="584" t="inlineStr">
        <is>
          <t>pcs</t>
        </is>
      </c>
      <c r="E83" s="586" t="n">
        <v>275</v>
      </c>
      <c r="F83" s="584" t="inlineStr">
        <is>
          <t>10%</t>
        </is>
      </c>
      <c r="G83" s="587" t="n">
        <v>302.5</v>
      </c>
      <c r="H83" s="244" t="inlineStr">
        <is>
          <t>1×/สัปดาห์</t>
        </is>
      </c>
      <c r="I83" s="588" t="n">
        <v>5</v>
      </c>
      <c r="J83" s="589" t="n">
        <v>1512</v>
      </c>
      <c r="K83" s="247" t="inlineStr">
        <is>
          <t>Supplier บรรจุภัณฑ์</t>
        </is>
      </c>
      <c r="L83" s="248" t="inlineStr">
        <is>
          <t>Cold-press ทุกเมนู</t>
        </is>
      </c>
    </row>
    <row r="84" ht="20" customHeight="1" s="61">
      <c r="A84" s="536" t="n">
        <v>73</v>
      </c>
      <c r="B84" s="339" t="inlineStr">
        <is>
          <t>Cup 16oz Smoothie (Logo)</t>
        </is>
      </c>
      <c r="C84" s="537" t="inlineStr">
        <is>
          <t>📦 บรรจุภัณฑ์</t>
        </is>
      </c>
      <c r="D84" s="536" t="inlineStr">
        <is>
          <t>pcs</t>
        </is>
      </c>
      <c r="E84" s="538" t="n">
        <v>265</v>
      </c>
      <c r="F84" s="536" t="inlineStr">
        <is>
          <t>10%</t>
        </is>
      </c>
      <c r="G84" s="590" t="n">
        <v>291.5</v>
      </c>
      <c r="H84" s="233" t="inlineStr">
        <is>
          <t>1×/สัปดาห์</t>
        </is>
      </c>
      <c r="I84" s="540" t="n">
        <v>6</v>
      </c>
      <c r="J84" s="541" t="n">
        <v>1749</v>
      </c>
      <c r="K84" s="236" t="inlineStr">
        <is>
          <t>Supplier บรรจุภัณฑ์</t>
        </is>
      </c>
      <c r="L84" s="237" t="inlineStr">
        <is>
          <t>Smoothies ทุกเมนู (13 SKU)</t>
        </is>
      </c>
    </row>
    <row r="85" ht="20" customHeight="1" s="61">
      <c r="A85" s="584" t="n">
        <v>74</v>
      </c>
      <c r="B85" s="333" t="inlineStr">
        <is>
          <t>Lid + Straw (ชุด)</t>
        </is>
      </c>
      <c r="C85" s="585" t="inlineStr">
        <is>
          <t>📦 บรรจุภัณฑ์</t>
        </is>
      </c>
      <c r="D85" s="584" t="inlineStr">
        <is>
          <t>sets</t>
        </is>
      </c>
      <c r="E85" s="586" t="n">
        <v>545</v>
      </c>
      <c r="F85" s="584" t="inlineStr">
        <is>
          <t>10%</t>
        </is>
      </c>
      <c r="G85" s="587" t="n">
        <v>599.5</v>
      </c>
      <c r="H85" s="244" t="inlineStr">
        <is>
          <t>1×/สัปดาห์</t>
        </is>
      </c>
      <c r="I85" s="588" t="n">
        <v>2</v>
      </c>
      <c r="J85" s="589" t="n">
        <v>1199</v>
      </c>
      <c r="K85" s="247" t="inlineStr">
        <is>
          <t>Supplier บรรจุภัณฑ์</t>
        </is>
      </c>
      <c r="L85" s="248" t="inlineStr">
        <is>
          <t>All drinks</t>
        </is>
      </c>
    </row>
    <row r="86" ht="20" customHeight="1" s="61">
      <c r="A86" s="536" t="n">
        <v>75</v>
      </c>
      <c r="B86" s="339" t="inlineStr">
        <is>
          <t>Paper Bag (ถุง Logo)</t>
        </is>
      </c>
      <c r="C86" s="537" t="inlineStr">
        <is>
          <t>📦 บรรจุภัณฑ์</t>
        </is>
      </c>
      <c r="D86" s="536" t="inlineStr">
        <is>
          <t>pcs</t>
        </is>
      </c>
      <c r="E86" s="538" t="n">
        <v>300</v>
      </c>
      <c r="F86" s="536" t="inlineStr">
        <is>
          <t>10%</t>
        </is>
      </c>
      <c r="G86" s="590" t="n">
        <v>330</v>
      </c>
      <c r="H86" s="233" t="inlineStr">
        <is>
          <t>1×/สัปดาห์</t>
        </is>
      </c>
      <c r="I86" s="540" t="n">
        <v>4</v>
      </c>
      <c r="J86" s="541" t="n">
        <v>1320</v>
      </c>
      <c r="K86" s="236" t="inlineStr">
        <is>
          <t>Supplier บรรจุภัณฑ์</t>
        </is>
      </c>
      <c r="L86" s="237" t="inlineStr">
        <is>
          <t>Takeaway</t>
        </is>
      </c>
    </row>
    <row r="87" ht="20" customHeight="1" s="61">
      <c r="A87" s="584" t="n">
        <v>76</v>
      </c>
      <c r="B87" s="333" t="inlineStr">
        <is>
          <t>Shot Cup 50ml</t>
        </is>
      </c>
      <c r="C87" s="585" t="inlineStr">
        <is>
          <t>📦 บรรจุภัณฑ์</t>
        </is>
      </c>
      <c r="D87" s="584" t="inlineStr">
        <is>
          <t>pcs</t>
        </is>
      </c>
      <c r="E87" s="586" t="n">
        <v>50</v>
      </c>
      <c r="F87" s="584" t="inlineStr">
        <is>
          <t>10%</t>
        </is>
      </c>
      <c r="G87" s="587" t="n">
        <v>55</v>
      </c>
      <c r="H87" s="244" t="inlineStr">
        <is>
          <t>1×/สัปดาห์</t>
        </is>
      </c>
      <c r="I87" s="588" t="n">
        <v>2</v>
      </c>
      <c r="J87" s="589" t="n">
        <v>110</v>
      </c>
      <c r="K87" s="247" t="inlineStr">
        <is>
          <t>Supplier บรรจุภัณฑ์</t>
        </is>
      </c>
      <c r="L87" s="248" t="inlineStr">
        <is>
          <t>Ginger Shot</t>
        </is>
      </c>
    </row>
    <row r="88" ht="20" customHeight="1" s="61">
      <c r="A88" s="536" t="n">
        <v>77</v>
      </c>
      <c r="B88" s="339" t="inlineStr">
        <is>
          <t>Wrap Box / Wrapper</t>
        </is>
      </c>
      <c r="C88" s="537" t="inlineStr">
        <is>
          <t>📦 บรรจุภัณฑ์</t>
        </is>
      </c>
      <c r="D88" s="536" t="inlineStr">
        <is>
          <t>pcs</t>
        </is>
      </c>
      <c r="E88" s="538" t="n">
        <v>105</v>
      </c>
      <c r="F88" s="536" t="inlineStr">
        <is>
          <t>5%</t>
        </is>
      </c>
      <c r="G88" s="590" t="n">
        <v>110.2</v>
      </c>
      <c r="H88" s="233" t="inlineStr">
        <is>
          <t>1×/สัปดาห์</t>
        </is>
      </c>
      <c r="I88" s="540" t="n">
        <v>3</v>
      </c>
      <c r="J88" s="541" t="n">
        <v>331</v>
      </c>
      <c r="K88" s="236" t="inlineStr">
        <is>
          <t>Supplier บรรจุภัณฑ์</t>
        </is>
      </c>
      <c r="L88" s="237" t="inlineStr">
        <is>
          <t>Wraps</t>
        </is>
      </c>
    </row>
    <row r="89" ht="20" customHeight="1" s="61">
      <c r="A89" s="584" t="n">
        <v>78</v>
      </c>
      <c r="B89" s="333" t="inlineStr">
        <is>
          <t>Label Sticker (Logo seal)</t>
        </is>
      </c>
      <c r="C89" s="585" t="inlineStr">
        <is>
          <t>📦 บรรจุภัณฑ์</t>
        </is>
      </c>
      <c r="D89" s="584" t="inlineStr">
        <is>
          <t>pcs</t>
        </is>
      </c>
      <c r="E89" s="586" t="n">
        <v>600</v>
      </c>
      <c r="F89" s="584" t="inlineStr">
        <is>
          <t>5%</t>
        </is>
      </c>
      <c r="G89" s="587" t="n">
        <v>630</v>
      </c>
      <c r="H89" s="244" t="inlineStr">
        <is>
          <t>1×/2wk</t>
        </is>
      </c>
      <c r="I89" s="588" t="n">
        <v>0.8</v>
      </c>
      <c r="J89" s="589" t="n">
        <v>504</v>
      </c>
      <c r="K89" s="247" t="inlineStr">
        <is>
          <t>Supplier บรรจุภัณฑ์</t>
        </is>
      </c>
      <c r="L89" s="248" t="inlineStr">
        <is>
          <t>All products</t>
        </is>
      </c>
    </row>
    <row r="91" ht="26" customHeight="1" s="61">
      <c r="A91" s="249" t="inlineStr">
        <is>
          <t>💰  ESTIMATED TOTAL — 2 WEEKS (incl. buffer)</t>
        </is>
      </c>
      <c r="J91" s="250" t="n">
        <v>33327</v>
      </c>
      <c r="K91" s="251" t="n"/>
      <c r="L91" s="251" t="n"/>
    </row>
    <row r="93" ht="30" customHeight="1" s="61">
      <c r="A93" s="252" t="inlineStr">
        <is>
          <t>📥  RECEIVING LOG — บันทึกรับสินค้าเข้า</t>
        </is>
      </c>
    </row>
    <row r="94" ht="16" customHeight="1" s="61">
      <c r="A94" s="253" t="inlineStr">
        <is>
          <t>กรอกทุกครั้งที่รับสินค้า  ·  ตรวจ: ปริมาณ / วันหมดอายุ / สภาพ  ·  Condition ❌ = แจ้ง Supplier ทันที</t>
        </is>
      </c>
    </row>
    <row r="95" ht="30" customHeight="1" s="61">
      <c r="A95" s="254" t="inlineStr">
        <is>
          <t>#</t>
        </is>
      </c>
      <c r="B95" s="254" t="inlineStr">
        <is>
          <t>วันที่รับ</t>
        </is>
      </c>
      <c r="C95" s="254" t="inlineStr">
        <is>
          <t>วัตถุดิบ</t>
        </is>
      </c>
      <c r="D95" s="254" t="inlineStr">
        <is>
          <t>หมวดหมู่</t>
        </is>
      </c>
      <c r="E95" s="254" t="inlineStr">
        <is>
          <t>ปริมาณสั่ง</t>
        </is>
      </c>
      <c r="F95" s="254" t="inlineStr">
        <is>
          <t>ได้รับจริง</t>
        </is>
      </c>
      <c r="G95" s="254" t="inlineStr">
        <is>
          <t>หน่วย</t>
        </is>
      </c>
      <c r="H95" s="254" t="inlineStr">
        <is>
          <t>Batch/LOT</t>
        </is>
      </c>
      <c r="I95" s="254" t="inlineStr">
        <is>
          <t>วันหมดอายุ</t>
        </is>
      </c>
      <c r="J95" s="254" t="inlineStr">
        <is>
          <t>Condition
✅/⚠️/❌</t>
        </is>
      </c>
      <c r="K95" s="254" t="inlineStr">
        <is>
          <t>ราคาจริง ฿</t>
        </is>
      </c>
      <c r="L95" s="254" t="inlineStr">
        <is>
          <t>ผู้รับ / หมายเหตุ</t>
        </is>
      </c>
    </row>
    <row r="96" ht="20" customHeight="1" s="61">
      <c r="A96" s="130" t="n">
        <v>1</v>
      </c>
      <c r="B96" s="130" t="n"/>
      <c r="C96" s="130" t="n"/>
      <c r="D96" s="130" t="n"/>
      <c r="E96" s="130" t="n"/>
      <c r="F96" s="130" t="n"/>
      <c r="G96" s="130" t="n"/>
      <c r="H96" s="130" t="n"/>
      <c r="I96" s="130" t="n"/>
      <c r="J96" s="130" t="inlineStr">
        <is>
          <t>✅</t>
        </is>
      </c>
      <c r="K96" s="130" t="n"/>
      <c r="L96" s="130" t="n"/>
    </row>
    <row r="97" ht="20" customHeight="1" s="61">
      <c r="A97" s="255" t="n">
        <v>2</v>
      </c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inlineStr">
        <is>
          <t>✅</t>
        </is>
      </c>
      <c r="K97" s="255" t="n"/>
      <c r="L97" s="255" t="n"/>
    </row>
    <row r="98" ht="20" customHeight="1" s="61">
      <c r="A98" s="130" t="n">
        <v>3</v>
      </c>
      <c r="B98" s="130" t="n"/>
      <c r="C98" s="130" t="n"/>
      <c r="D98" s="130" t="n"/>
      <c r="E98" s="130" t="n"/>
      <c r="F98" s="130" t="n"/>
      <c r="G98" s="130" t="n"/>
      <c r="H98" s="130" t="n"/>
      <c r="I98" s="130" t="n"/>
      <c r="J98" s="130" t="inlineStr">
        <is>
          <t>✅</t>
        </is>
      </c>
      <c r="K98" s="130" t="n"/>
      <c r="L98" s="130" t="n"/>
    </row>
    <row r="99" ht="20" customHeight="1" s="61">
      <c r="A99" s="255" t="n">
        <v>4</v>
      </c>
      <c r="B99" s="255" t="n"/>
      <c r="C99" s="255" t="n"/>
      <c r="D99" s="255" t="n"/>
      <c r="E99" s="255" t="n"/>
      <c r="F99" s="255" t="n"/>
      <c r="G99" s="255" t="n"/>
      <c r="H99" s="255" t="n"/>
      <c r="I99" s="255" t="n"/>
      <c r="J99" s="255" t="inlineStr">
        <is>
          <t>✅</t>
        </is>
      </c>
      <c r="K99" s="255" t="n"/>
      <c r="L99" s="255" t="n"/>
    </row>
    <row r="100" ht="20" customHeight="1" s="61">
      <c r="A100" s="130" t="n">
        <v>5</v>
      </c>
      <c r="B100" s="130" t="n"/>
      <c r="C100" s="130" t="n"/>
      <c r="D100" s="130" t="n"/>
      <c r="E100" s="130" t="n"/>
      <c r="F100" s="130" t="n"/>
      <c r="G100" s="130" t="n"/>
      <c r="H100" s="130" t="n"/>
      <c r="I100" s="130" t="n"/>
      <c r="J100" s="130" t="inlineStr">
        <is>
          <t>✅</t>
        </is>
      </c>
      <c r="K100" s="130" t="n"/>
      <c r="L100" s="130" t="n"/>
    </row>
    <row r="101" ht="20" customHeight="1" s="61">
      <c r="A101" s="255" t="n">
        <v>6</v>
      </c>
      <c r="B101" s="255" t="n"/>
      <c r="C101" s="255" t="n"/>
      <c r="D101" s="255" t="n"/>
      <c r="E101" s="255" t="n"/>
      <c r="F101" s="255" t="n"/>
      <c r="G101" s="255" t="n"/>
      <c r="H101" s="255" t="n"/>
      <c r="I101" s="255" t="n"/>
      <c r="J101" s="255" t="inlineStr">
        <is>
          <t>✅</t>
        </is>
      </c>
      <c r="K101" s="255" t="n"/>
      <c r="L101" s="255" t="n"/>
    </row>
    <row r="102" ht="20" customHeight="1" s="61">
      <c r="A102" s="130" t="n">
        <v>7</v>
      </c>
      <c r="B102" s="130" t="n"/>
      <c r="C102" s="130" t="n"/>
      <c r="D102" s="130" t="n"/>
      <c r="E102" s="130" t="n"/>
      <c r="F102" s="130" t="n"/>
      <c r="G102" s="130" t="n"/>
      <c r="H102" s="130" t="n"/>
      <c r="I102" s="130" t="n"/>
      <c r="J102" s="130" t="inlineStr">
        <is>
          <t>✅</t>
        </is>
      </c>
      <c r="K102" s="130" t="n"/>
      <c r="L102" s="130" t="n"/>
    </row>
    <row r="103" ht="20" customHeight="1" s="61">
      <c r="A103" s="255" t="n">
        <v>8</v>
      </c>
      <c r="B103" s="255" t="n"/>
      <c r="C103" s="255" t="n"/>
      <c r="D103" s="255" t="n"/>
      <c r="E103" s="255" t="n"/>
      <c r="F103" s="255" t="n"/>
      <c r="G103" s="255" t="n"/>
      <c r="H103" s="255" t="n"/>
      <c r="I103" s="255" t="n"/>
      <c r="J103" s="255" t="inlineStr">
        <is>
          <t>✅</t>
        </is>
      </c>
      <c r="K103" s="255" t="n"/>
      <c r="L103" s="255" t="n"/>
    </row>
    <row r="104" ht="20" customHeight="1" s="61">
      <c r="A104" s="130" t="n">
        <v>9</v>
      </c>
      <c r="B104" s="130" t="n"/>
      <c r="C104" s="130" t="n"/>
      <c r="D104" s="130" t="n"/>
      <c r="E104" s="130" t="n"/>
      <c r="F104" s="130" t="n"/>
      <c r="G104" s="130" t="n"/>
      <c r="H104" s="130" t="n"/>
      <c r="I104" s="130" t="n"/>
      <c r="J104" s="130" t="inlineStr">
        <is>
          <t>✅</t>
        </is>
      </c>
      <c r="K104" s="130" t="n"/>
      <c r="L104" s="130" t="n"/>
    </row>
    <row r="105" ht="20" customHeight="1" s="61">
      <c r="A105" s="255" t="n">
        <v>10</v>
      </c>
      <c r="B105" s="255" t="n"/>
      <c r="C105" s="255" t="n"/>
      <c r="D105" s="255" t="n"/>
      <c r="E105" s="255" t="n"/>
      <c r="F105" s="255" t="n"/>
      <c r="G105" s="255" t="n"/>
      <c r="H105" s="255" t="n"/>
      <c r="I105" s="255" t="n"/>
      <c r="J105" s="255" t="inlineStr">
        <is>
          <t>✅</t>
        </is>
      </c>
      <c r="K105" s="255" t="n"/>
      <c r="L105" s="255" t="n"/>
    </row>
    <row r="106" ht="20" customHeight="1" s="61">
      <c r="A106" s="130" t="n">
        <v>11</v>
      </c>
      <c r="B106" s="130" t="n"/>
      <c r="C106" s="130" t="n"/>
      <c r="D106" s="130" t="n"/>
      <c r="E106" s="130" t="n"/>
      <c r="F106" s="130" t="n"/>
      <c r="G106" s="130" t="n"/>
      <c r="H106" s="130" t="n"/>
      <c r="I106" s="130" t="n"/>
      <c r="J106" s="130" t="inlineStr">
        <is>
          <t>✅</t>
        </is>
      </c>
      <c r="K106" s="130" t="n"/>
      <c r="L106" s="130" t="n"/>
    </row>
    <row r="107" ht="20" customHeight="1" s="61">
      <c r="A107" s="255" t="n">
        <v>12</v>
      </c>
      <c r="B107" s="255" t="n"/>
      <c r="C107" s="255" t="n"/>
      <c r="D107" s="255" t="n"/>
      <c r="E107" s="255" t="n"/>
      <c r="F107" s="255" t="n"/>
      <c r="G107" s="255" t="n"/>
      <c r="H107" s="255" t="n"/>
      <c r="I107" s="255" t="n"/>
      <c r="J107" s="255" t="inlineStr">
        <is>
          <t>✅</t>
        </is>
      </c>
      <c r="K107" s="255" t="n"/>
      <c r="L107" s="255" t="n"/>
    </row>
    <row r="108" ht="20" customHeight="1" s="61">
      <c r="A108" s="130" t="n">
        <v>13</v>
      </c>
      <c r="B108" s="130" t="n"/>
      <c r="C108" s="130" t="n"/>
      <c r="D108" s="130" t="n"/>
      <c r="E108" s="130" t="n"/>
      <c r="F108" s="130" t="n"/>
      <c r="G108" s="130" t="n"/>
      <c r="H108" s="130" t="n"/>
      <c r="I108" s="130" t="n"/>
      <c r="J108" s="130" t="inlineStr">
        <is>
          <t>✅</t>
        </is>
      </c>
      <c r="K108" s="130" t="n"/>
      <c r="L108" s="130" t="n"/>
    </row>
    <row r="109" ht="20" customHeight="1" s="61">
      <c r="A109" s="255" t="n">
        <v>14</v>
      </c>
      <c r="B109" s="255" t="n"/>
      <c r="C109" s="255" t="n"/>
      <c r="D109" s="255" t="n"/>
      <c r="E109" s="255" t="n"/>
      <c r="F109" s="255" t="n"/>
      <c r="G109" s="255" t="n"/>
      <c r="H109" s="255" t="n"/>
      <c r="I109" s="255" t="n"/>
      <c r="J109" s="255" t="inlineStr">
        <is>
          <t>✅</t>
        </is>
      </c>
      <c r="K109" s="255" t="n"/>
      <c r="L109" s="255" t="n"/>
    </row>
    <row r="110" ht="20" customHeight="1" s="61">
      <c r="A110" s="130" t="n">
        <v>15</v>
      </c>
      <c r="B110" s="130" t="n"/>
      <c r="C110" s="130" t="n"/>
      <c r="D110" s="130" t="n"/>
      <c r="E110" s="130" t="n"/>
      <c r="F110" s="130" t="n"/>
      <c r="G110" s="130" t="n"/>
      <c r="H110" s="130" t="n"/>
      <c r="I110" s="130" t="n"/>
      <c r="J110" s="130" t="inlineStr">
        <is>
          <t>✅</t>
        </is>
      </c>
      <c r="K110" s="130" t="n"/>
      <c r="L110" s="130" t="n"/>
    </row>
    <row r="111" ht="20" customHeight="1" s="61">
      <c r="A111" s="255" t="n">
        <v>16</v>
      </c>
      <c r="B111" s="255" t="n"/>
      <c r="C111" s="255" t="n"/>
      <c r="D111" s="255" t="n"/>
      <c r="E111" s="255" t="n"/>
      <c r="F111" s="255" t="n"/>
      <c r="G111" s="255" t="n"/>
      <c r="H111" s="255" t="n"/>
      <c r="I111" s="255" t="n"/>
      <c r="J111" s="255" t="inlineStr">
        <is>
          <t>✅</t>
        </is>
      </c>
      <c r="K111" s="255" t="n"/>
      <c r="L111" s="255" t="n"/>
    </row>
    <row r="112" ht="20" customHeight="1" s="61">
      <c r="A112" s="130" t="n">
        <v>17</v>
      </c>
      <c r="B112" s="130" t="n"/>
      <c r="C112" s="130" t="n"/>
      <c r="D112" s="130" t="n"/>
      <c r="E112" s="130" t="n"/>
      <c r="F112" s="130" t="n"/>
      <c r="G112" s="130" t="n"/>
      <c r="H112" s="130" t="n"/>
      <c r="I112" s="130" t="n"/>
      <c r="J112" s="130" t="inlineStr">
        <is>
          <t>✅</t>
        </is>
      </c>
      <c r="K112" s="130" t="n"/>
      <c r="L112" s="130" t="n"/>
    </row>
    <row r="113" ht="20" customHeight="1" s="61">
      <c r="A113" s="255" t="n">
        <v>18</v>
      </c>
      <c r="B113" s="255" t="n"/>
      <c r="C113" s="255" t="n"/>
      <c r="D113" s="255" t="n"/>
      <c r="E113" s="255" t="n"/>
      <c r="F113" s="255" t="n"/>
      <c r="G113" s="255" t="n"/>
      <c r="H113" s="255" t="n"/>
      <c r="I113" s="255" t="n"/>
      <c r="J113" s="255" t="inlineStr">
        <is>
          <t>✅</t>
        </is>
      </c>
      <c r="K113" s="255" t="n"/>
      <c r="L113" s="255" t="n"/>
    </row>
    <row r="114" ht="20" customHeight="1" s="61">
      <c r="A114" s="130" t="n">
        <v>19</v>
      </c>
      <c r="B114" s="130" t="n"/>
      <c r="C114" s="130" t="n"/>
      <c r="D114" s="130" t="n"/>
      <c r="E114" s="130" t="n"/>
      <c r="F114" s="130" t="n"/>
      <c r="G114" s="130" t="n"/>
      <c r="H114" s="130" t="n"/>
      <c r="I114" s="130" t="n"/>
      <c r="J114" s="130" t="inlineStr">
        <is>
          <t>✅</t>
        </is>
      </c>
      <c r="K114" s="130" t="n"/>
      <c r="L114" s="130" t="n"/>
    </row>
    <row r="115" ht="20" customHeight="1" s="61">
      <c r="A115" s="255" t="n">
        <v>20</v>
      </c>
      <c r="B115" s="255" t="n"/>
      <c r="C115" s="255" t="n"/>
      <c r="D115" s="255" t="n"/>
      <c r="E115" s="255" t="n"/>
      <c r="F115" s="255" t="n"/>
      <c r="G115" s="255" t="n"/>
      <c r="H115" s="255" t="n"/>
      <c r="I115" s="255" t="n"/>
      <c r="J115" s="255" t="inlineStr">
        <is>
          <t>✅</t>
        </is>
      </c>
      <c r="K115" s="255" t="n"/>
      <c r="L115" s="255" t="n"/>
    </row>
    <row r="116" ht="20" customHeight="1" s="61">
      <c r="A116" s="130" t="n">
        <v>21</v>
      </c>
      <c r="B116" s="130" t="n"/>
      <c r="C116" s="130" t="n"/>
      <c r="D116" s="130" t="n"/>
      <c r="E116" s="130" t="n"/>
      <c r="F116" s="130" t="n"/>
      <c r="G116" s="130" t="n"/>
      <c r="H116" s="130" t="n"/>
      <c r="I116" s="130" t="n"/>
      <c r="J116" s="130" t="inlineStr">
        <is>
          <t>✅</t>
        </is>
      </c>
      <c r="K116" s="130" t="n"/>
      <c r="L116" s="130" t="n"/>
    </row>
    <row r="117" ht="20" customHeight="1" s="61">
      <c r="A117" s="255" t="n">
        <v>22</v>
      </c>
      <c r="B117" s="255" t="n"/>
      <c r="C117" s="255" t="n"/>
      <c r="D117" s="255" t="n"/>
      <c r="E117" s="255" t="n"/>
      <c r="F117" s="255" t="n"/>
      <c r="G117" s="255" t="n"/>
      <c r="H117" s="255" t="n"/>
      <c r="I117" s="255" t="n"/>
      <c r="J117" s="255" t="inlineStr">
        <is>
          <t>✅</t>
        </is>
      </c>
      <c r="K117" s="255" t="n"/>
      <c r="L117" s="255" t="n"/>
    </row>
    <row r="118" ht="20" customHeight="1" s="61">
      <c r="A118" s="130" t="n">
        <v>23</v>
      </c>
      <c r="B118" s="130" t="n"/>
      <c r="C118" s="130" t="n"/>
      <c r="D118" s="130" t="n"/>
      <c r="E118" s="130" t="n"/>
      <c r="F118" s="130" t="n"/>
      <c r="G118" s="130" t="n"/>
      <c r="H118" s="130" t="n"/>
      <c r="I118" s="130" t="n"/>
      <c r="J118" s="130" t="inlineStr">
        <is>
          <t>✅</t>
        </is>
      </c>
      <c r="K118" s="130" t="n"/>
      <c r="L118" s="130" t="n"/>
    </row>
    <row r="119" ht="20" customHeight="1" s="61">
      <c r="A119" s="255" t="n">
        <v>24</v>
      </c>
      <c r="B119" s="255" t="n"/>
      <c r="C119" s="255" t="n"/>
      <c r="D119" s="255" t="n"/>
      <c r="E119" s="255" t="n"/>
      <c r="F119" s="255" t="n"/>
      <c r="G119" s="255" t="n"/>
      <c r="H119" s="255" t="n"/>
      <c r="I119" s="255" t="n"/>
      <c r="J119" s="255" t="inlineStr">
        <is>
          <t>✅</t>
        </is>
      </c>
      <c r="K119" s="255" t="n"/>
      <c r="L119" s="255" t="n"/>
    </row>
    <row r="120" ht="20" customHeight="1" s="61">
      <c r="A120" s="130" t="n">
        <v>25</v>
      </c>
      <c r="B120" s="130" t="n"/>
      <c r="C120" s="130" t="n"/>
      <c r="D120" s="130" t="n"/>
      <c r="E120" s="130" t="n"/>
      <c r="F120" s="130" t="n"/>
      <c r="G120" s="130" t="n"/>
      <c r="H120" s="130" t="n"/>
      <c r="I120" s="130" t="n"/>
      <c r="J120" s="130" t="inlineStr">
        <is>
          <t>✅</t>
        </is>
      </c>
      <c r="K120" s="130" t="n"/>
      <c r="L120" s="130" t="n"/>
    </row>
    <row r="121" ht="20" customHeight="1" s="61">
      <c r="A121" s="255" t="n">
        <v>26</v>
      </c>
      <c r="B121" s="255" t="n"/>
      <c r="C121" s="255" t="n"/>
      <c r="D121" s="255" t="n"/>
      <c r="E121" s="255" t="n"/>
      <c r="F121" s="255" t="n"/>
      <c r="G121" s="255" t="n"/>
      <c r="H121" s="255" t="n"/>
      <c r="I121" s="255" t="n"/>
      <c r="J121" s="255" t="inlineStr">
        <is>
          <t>✅</t>
        </is>
      </c>
      <c r="K121" s="255" t="n"/>
      <c r="L121" s="255" t="n"/>
    </row>
    <row r="122" ht="20" customHeight="1" s="61">
      <c r="A122" s="130" t="n">
        <v>27</v>
      </c>
      <c r="B122" s="130" t="n"/>
      <c r="C122" s="130" t="n"/>
      <c r="D122" s="130" t="n"/>
      <c r="E122" s="130" t="n"/>
      <c r="F122" s="130" t="n"/>
      <c r="G122" s="130" t="n"/>
      <c r="H122" s="130" t="n"/>
      <c r="I122" s="130" t="n"/>
      <c r="J122" s="130" t="inlineStr">
        <is>
          <t>✅</t>
        </is>
      </c>
      <c r="K122" s="130" t="n"/>
      <c r="L122" s="130" t="n"/>
    </row>
    <row r="123" ht="20" customHeight="1" s="61">
      <c r="A123" s="255" t="n">
        <v>28</v>
      </c>
      <c r="B123" s="255" t="n"/>
      <c r="C123" s="255" t="n"/>
      <c r="D123" s="255" t="n"/>
      <c r="E123" s="255" t="n"/>
      <c r="F123" s="255" t="n"/>
      <c r="G123" s="255" t="n"/>
      <c r="H123" s="255" t="n"/>
      <c r="I123" s="255" t="n"/>
      <c r="J123" s="255" t="inlineStr">
        <is>
          <t>✅</t>
        </is>
      </c>
      <c r="K123" s="255" t="n"/>
      <c r="L123" s="255" t="n"/>
    </row>
    <row r="124" ht="20" customHeight="1" s="61">
      <c r="A124" s="130" t="n">
        <v>29</v>
      </c>
      <c r="B124" s="130" t="n"/>
      <c r="C124" s="130" t="n"/>
      <c r="D124" s="130" t="n"/>
      <c r="E124" s="130" t="n"/>
      <c r="F124" s="130" t="n"/>
      <c r="G124" s="130" t="n"/>
      <c r="H124" s="130" t="n"/>
      <c r="I124" s="130" t="n"/>
      <c r="J124" s="130" t="inlineStr">
        <is>
          <t>✅</t>
        </is>
      </c>
      <c r="K124" s="130" t="n"/>
      <c r="L124" s="130" t="n"/>
    </row>
    <row r="125" ht="20" customHeight="1" s="61">
      <c r="A125" s="255" t="n">
        <v>30</v>
      </c>
      <c r="B125" s="255" t="n"/>
      <c r="C125" s="255" t="n"/>
      <c r="D125" s="255" t="n"/>
      <c r="E125" s="255" t="n"/>
      <c r="F125" s="255" t="n"/>
      <c r="G125" s="255" t="n"/>
      <c r="H125" s="255" t="n"/>
      <c r="I125" s="255" t="n"/>
      <c r="J125" s="255" t="inlineStr">
        <is>
          <t>✅</t>
        </is>
      </c>
      <c r="K125" s="255" t="n"/>
      <c r="L125" s="255" t="n"/>
    </row>
    <row r="126" ht="20" customHeight="1" s="61">
      <c r="A126" s="130" t="n">
        <v>31</v>
      </c>
      <c r="B126" s="130" t="n"/>
      <c r="C126" s="130" t="n"/>
      <c r="D126" s="130" t="n"/>
      <c r="E126" s="130" t="n"/>
      <c r="F126" s="130" t="n"/>
      <c r="G126" s="130" t="n"/>
      <c r="H126" s="130" t="n"/>
      <c r="I126" s="130" t="n"/>
      <c r="J126" s="130" t="inlineStr">
        <is>
          <t>✅</t>
        </is>
      </c>
      <c r="K126" s="130" t="n"/>
      <c r="L126" s="130" t="n"/>
    </row>
    <row r="127" ht="20" customHeight="1" s="61">
      <c r="A127" s="255" t="n">
        <v>32</v>
      </c>
      <c r="B127" s="255" t="n"/>
      <c r="C127" s="255" t="n"/>
      <c r="D127" s="255" t="n"/>
      <c r="E127" s="255" t="n"/>
      <c r="F127" s="255" t="n"/>
      <c r="G127" s="255" t="n"/>
      <c r="H127" s="255" t="n"/>
      <c r="I127" s="255" t="n"/>
      <c r="J127" s="255" t="inlineStr">
        <is>
          <t>✅</t>
        </is>
      </c>
      <c r="K127" s="255" t="n"/>
      <c r="L127" s="255" t="n"/>
    </row>
    <row r="128" ht="20" customHeight="1" s="61">
      <c r="A128" s="130" t="n">
        <v>33</v>
      </c>
      <c r="B128" s="130" t="n"/>
      <c r="C128" s="130" t="n"/>
      <c r="D128" s="130" t="n"/>
      <c r="E128" s="130" t="n"/>
      <c r="F128" s="130" t="n"/>
      <c r="G128" s="130" t="n"/>
      <c r="H128" s="130" t="n"/>
      <c r="I128" s="130" t="n"/>
      <c r="J128" s="130" t="inlineStr">
        <is>
          <t>✅</t>
        </is>
      </c>
      <c r="K128" s="130" t="n"/>
      <c r="L128" s="130" t="n"/>
    </row>
    <row r="129" ht="20" customHeight="1" s="61">
      <c r="A129" s="255" t="n">
        <v>34</v>
      </c>
      <c r="B129" s="255" t="n"/>
      <c r="C129" s="255" t="n"/>
      <c r="D129" s="255" t="n"/>
      <c r="E129" s="255" t="n"/>
      <c r="F129" s="255" t="n"/>
      <c r="G129" s="255" t="n"/>
      <c r="H129" s="255" t="n"/>
      <c r="I129" s="255" t="n"/>
      <c r="J129" s="255" t="inlineStr">
        <is>
          <t>✅</t>
        </is>
      </c>
      <c r="K129" s="255" t="n"/>
      <c r="L129" s="255" t="n"/>
    </row>
    <row r="130" ht="20" customHeight="1" s="61">
      <c r="A130" s="130" t="n">
        <v>35</v>
      </c>
      <c r="B130" s="130" t="n"/>
      <c r="C130" s="130" t="n"/>
      <c r="D130" s="130" t="n"/>
      <c r="E130" s="130" t="n"/>
      <c r="F130" s="130" t="n"/>
      <c r="G130" s="130" t="n"/>
      <c r="H130" s="130" t="n"/>
      <c r="I130" s="130" t="n"/>
      <c r="J130" s="130" t="inlineStr">
        <is>
          <t>✅</t>
        </is>
      </c>
      <c r="K130" s="130" t="n"/>
      <c r="L130" s="130" t="n"/>
    </row>
    <row r="131" ht="20" customHeight="1" s="61">
      <c r="A131" s="255" t="n">
        <v>36</v>
      </c>
      <c r="B131" s="255" t="n"/>
      <c r="C131" s="255" t="n"/>
      <c r="D131" s="255" t="n"/>
      <c r="E131" s="255" t="n"/>
      <c r="F131" s="255" t="n"/>
      <c r="G131" s="255" t="n"/>
      <c r="H131" s="255" t="n"/>
      <c r="I131" s="255" t="n"/>
      <c r="J131" s="255" t="inlineStr">
        <is>
          <t>✅</t>
        </is>
      </c>
      <c r="K131" s="255" t="n"/>
      <c r="L131" s="255" t="n"/>
    </row>
    <row r="132" ht="20" customHeight="1" s="61">
      <c r="A132" s="130" t="n">
        <v>37</v>
      </c>
      <c r="B132" s="130" t="n"/>
      <c r="C132" s="130" t="n"/>
      <c r="D132" s="130" t="n"/>
      <c r="E132" s="130" t="n"/>
      <c r="F132" s="130" t="n"/>
      <c r="G132" s="130" t="n"/>
      <c r="H132" s="130" t="n"/>
      <c r="I132" s="130" t="n"/>
      <c r="J132" s="130" t="inlineStr">
        <is>
          <t>✅</t>
        </is>
      </c>
      <c r="K132" s="130" t="n"/>
      <c r="L132" s="130" t="n"/>
    </row>
    <row r="133" ht="20" customHeight="1" s="61">
      <c r="A133" s="255" t="n">
        <v>38</v>
      </c>
      <c r="B133" s="255" t="n"/>
      <c r="C133" s="255" t="n"/>
      <c r="D133" s="255" t="n"/>
      <c r="E133" s="255" t="n"/>
      <c r="F133" s="255" t="n"/>
      <c r="G133" s="255" t="n"/>
      <c r="H133" s="255" t="n"/>
      <c r="I133" s="255" t="n"/>
      <c r="J133" s="255" t="inlineStr">
        <is>
          <t>✅</t>
        </is>
      </c>
      <c r="K133" s="255" t="n"/>
      <c r="L133" s="255" t="n"/>
    </row>
    <row r="134" ht="20" customHeight="1" s="61">
      <c r="A134" s="130" t="n">
        <v>39</v>
      </c>
      <c r="B134" s="130" t="n"/>
      <c r="C134" s="130" t="n"/>
      <c r="D134" s="130" t="n"/>
      <c r="E134" s="130" t="n"/>
      <c r="F134" s="130" t="n"/>
      <c r="G134" s="130" t="n"/>
      <c r="H134" s="130" t="n"/>
      <c r="I134" s="130" t="n"/>
      <c r="J134" s="130" t="inlineStr">
        <is>
          <t>✅</t>
        </is>
      </c>
      <c r="K134" s="130" t="n"/>
      <c r="L134" s="130" t="n"/>
    </row>
    <row r="135" ht="20" customHeight="1" s="61">
      <c r="A135" s="255" t="n">
        <v>40</v>
      </c>
      <c r="B135" s="255" t="n"/>
      <c r="C135" s="255" t="n"/>
      <c r="D135" s="255" t="n"/>
      <c r="E135" s="255" t="n"/>
      <c r="F135" s="255" t="n"/>
      <c r="G135" s="255" t="n"/>
      <c r="H135" s="255" t="n"/>
      <c r="I135" s="255" t="n"/>
      <c r="J135" s="255" t="inlineStr">
        <is>
          <t>✅</t>
        </is>
      </c>
      <c r="K135" s="255" t="n"/>
      <c r="L135" s="255" t="n"/>
    </row>
  </sheetData>
  <mergeCells count="13">
    <mergeCell ref="A30:L30"/>
    <mergeCell ref="A2:L2"/>
    <mergeCell ref="A82:L82"/>
    <mergeCell ref="A43:L43"/>
    <mergeCell ref="A71:L71"/>
    <mergeCell ref="A49:L49"/>
    <mergeCell ref="A1:L1"/>
    <mergeCell ref="A94:L94"/>
    <mergeCell ref="A93:L93"/>
    <mergeCell ref="A66:L66"/>
    <mergeCell ref="A17:L17"/>
    <mergeCell ref="A91:I91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tabColor rgb="004A90D9"/>
    <outlinePr summaryBelow="1" summaryRight="1"/>
    <pageSetUpPr fitToPage="0"/>
  </sheetPr>
  <dimension ref="A2:G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60" min="1" max="1"/>
    <col width="5" customWidth="1" style="60" min="2" max="2"/>
    <col width="38" customWidth="1" style="60" min="3" max="3"/>
    <col width="14" customWidth="1" style="60" min="4" max="5"/>
    <col width="12" customWidth="1" style="60" min="6" max="6"/>
    <col width="30" customWidth="1" style="60" min="7" max="7"/>
  </cols>
  <sheetData>
    <row r="2" ht="24.45" customHeight="1" s="61">
      <c r="B2" s="105" t="inlineStr">
        <is>
          <t>✅ This Week — Focus</t>
        </is>
      </c>
    </row>
    <row r="3" ht="15" customHeight="1" s="61">
      <c r="B3" s="106" t="inlineStr">
        <is>
          <t>งานสัปดาห์นี้ · เช็คทุกเช้า 5 นาที · จันทร์ refresh</t>
        </is>
      </c>
    </row>
    <row r="5" ht="31.5" customHeight="1" s="61">
      <c r="A5" s="81" t="n"/>
      <c r="B5" s="81" t="inlineStr">
        <is>
          <t>#</t>
        </is>
      </c>
      <c r="C5" s="81" t="inlineStr">
        <is>
          <t>งาน</t>
        </is>
      </c>
      <c r="D5" s="81" t="inlineStr">
        <is>
          <t>เจ้าของ</t>
        </is>
      </c>
      <c r="E5" s="81" t="inlineStr">
        <is>
          <t>Due</t>
        </is>
      </c>
      <c r="F5" s="81" t="inlineStr">
        <is>
          <t>สถานะ</t>
        </is>
      </c>
      <c r="G5" s="81" t="inlineStr">
        <is>
          <t>หมายเหตุ</t>
        </is>
      </c>
    </row>
    <row r="6" ht="31.5" customHeight="1" s="61">
      <c r="B6" s="107" t="inlineStr">
        <is>
          <t>⭐</t>
        </is>
      </c>
      <c r="C6" s="108" t="inlineStr">
        <is>
          <t>Brief Yu — supplier list ผัก/ผลไม้/มะพร้าว 2 รายต่อหมวด + tortilla BKK import</t>
        </is>
      </c>
      <c r="D6" s="109" t="inlineStr">
        <is>
          <t>CEO+Yu</t>
        </is>
      </c>
      <c r="E6" s="109" t="inlineStr">
        <is>
          <t>+3 วัน</t>
        </is>
      </c>
      <c r="F6" s="109" t="inlineStr">
        <is>
          <t>Not Started</t>
        </is>
      </c>
      <c r="G6" s="110" t="n"/>
    </row>
    <row r="7" ht="31.5" customHeight="1" s="61">
      <c r="B7" s="107" t="inlineStr">
        <is>
          <t>⭐</t>
        </is>
      </c>
      <c r="C7" s="108" t="inlineStr">
        <is>
          <t>Hire Juicer ×2 + Cashier ×1 — Store Mgr lead interview</t>
        </is>
      </c>
      <c r="D7" s="109" t="inlineStr">
        <is>
          <t>Store Mgr</t>
        </is>
      </c>
      <c r="E7" s="109" t="inlineStr">
        <is>
          <t>+5 วัน</t>
        </is>
      </c>
      <c r="F7" s="109" t="inlineStr">
        <is>
          <t>Not Started</t>
        </is>
      </c>
      <c r="G7" s="110" t="inlineStr">
        <is>
          <t>cross-train ทำ wrap</t>
        </is>
      </c>
    </row>
    <row r="8" ht="31.5" customHeight="1" s="61">
      <c r="B8" s="107" t="inlineStr">
        <is>
          <t>⭐</t>
        </is>
      </c>
      <c r="C8" s="108" t="inlineStr">
        <is>
          <t>POS choice: Loyverse vs FoodStory + setup 26 SKU</t>
        </is>
      </c>
      <c r="D8" s="109" t="inlineStr">
        <is>
          <t>CEO</t>
        </is>
      </c>
      <c r="E8" s="109" t="inlineStr">
        <is>
          <t>+5 วัน</t>
        </is>
      </c>
      <c r="F8" s="109" t="inlineStr">
        <is>
          <t>Not Started</t>
        </is>
      </c>
      <c r="G8" s="110" t="n"/>
    </row>
    <row r="9" ht="31.5" customHeight="1" s="61">
      <c r="B9" s="107" t="n"/>
      <c r="C9" s="108" t="inlineStr">
        <is>
          <t>Order whole wheat tortilla 8" BKK + test</t>
        </is>
      </c>
      <c r="D9" s="109" t="inlineStr">
        <is>
          <t>Yu</t>
        </is>
      </c>
      <c r="E9" s="109" t="inlineStr">
        <is>
          <t>+7 วัน</t>
        </is>
      </c>
      <c r="F9" s="109" t="inlineStr">
        <is>
          <t>Not Started</t>
        </is>
      </c>
      <c r="G9" s="110" t="inlineStr">
        <is>
          <t>30 ใบ/วัน need</t>
        </is>
      </c>
    </row>
    <row r="10" ht="31.5" customHeight="1" s="61">
      <c r="B10" s="107" t="n"/>
      <c r="C10" s="108" t="inlineStr">
        <is>
          <t>Test 4 cold-press launch ตามกรัม Recipe Master Book v2</t>
        </is>
      </c>
      <c r="D10" s="109" t="inlineStr">
        <is>
          <t>CEO+Yu</t>
        </is>
      </c>
      <c r="E10" s="109" t="inlineStr">
        <is>
          <t>+4 วัน</t>
        </is>
      </c>
      <c r="F10" s="109" t="inlineStr">
        <is>
          <t>Not Started</t>
        </is>
      </c>
      <c r="G10" s="110" t="inlineStr">
        <is>
          <t>KEEP RISING, MIND CLEAR, SMILE ON, FULL POWER</t>
        </is>
      </c>
    </row>
    <row r="11" ht="31.5" customHeight="1" s="61">
      <c r="B11" s="107" t="n"/>
      <c r="C11" s="108" t="inlineStr">
        <is>
          <t>Test 4 smoothie launch</t>
        </is>
      </c>
      <c r="D11" s="109" t="inlineStr">
        <is>
          <t>CEO+Yu</t>
        </is>
      </c>
      <c r="E11" s="109" t="inlineStr">
        <is>
          <t>+4 วัน</t>
        </is>
      </c>
      <c r="F11" s="109" t="inlineStr">
        <is>
          <t>Not Started</t>
        </is>
      </c>
      <c r="G11" s="110" t="inlineStr">
        <is>
          <t>FEEL GOOD, GLOW UP, YOU DESERVE IT, HIGH VIBE</t>
        </is>
      </c>
    </row>
    <row r="12" ht="31.5" customHeight="1" s="61">
      <c r="B12" s="107" t="n"/>
      <c r="C12" s="108" t="inlineStr">
        <is>
          <t>Mural + signage 'Fuel Your Better' ติดผนัง</t>
        </is>
      </c>
      <c r="D12" s="109" t="inlineStr">
        <is>
          <t>Designer</t>
        </is>
      </c>
      <c r="E12" s="109" t="inlineStr">
        <is>
          <t>+8 วัน</t>
        </is>
      </c>
      <c r="F12" s="109" t="inlineStr">
        <is>
          <t>Not Started</t>
        </is>
      </c>
      <c r="G12" s="110" t="n"/>
    </row>
    <row r="13" ht="31.5" customHeight="1" s="61">
      <c r="B13" s="107" t="n"/>
      <c r="C13" s="108" t="inlineStr">
        <is>
          <t>ปริ้น recipe card 26 ใบ ติด counter</t>
        </is>
      </c>
      <c r="D13" s="109" t="inlineStr">
        <is>
          <t>Designer+CEO</t>
        </is>
      </c>
      <c r="E13" s="109" t="inlineStr">
        <is>
          <t>+10 วัน</t>
        </is>
      </c>
      <c r="F13" s="109" t="inlineStr">
        <is>
          <t>Not Started</t>
        </is>
      </c>
      <c r="G13" s="110" t="n"/>
    </row>
    <row r="14" ht="31.5" customHeight="1" s="61">
      <c r="B14" s="107" t="n"/>
      <c r="C14" s="108" t="inlineStr">
        <is>
          <t>Soft Launch invitation copy + invite 30 คน (D-5 = 8 พ.ค.)</t>
        </is>
      </c>
      <c r="D14" s="109" t="inlineStr">
        <is>
          <t>CEO+Marketing</t>
        </is>
      </c>
      <c r="E14" s="109" t="inlineStr">
        <is>
          <t>+5 วัน</t>
        </is>
      </c>
      <c r="F14" s="109" t="inlineStr">
        <is>
          <t>Not Started</t>
        </is>
      </c>
      <c r="G14" s="110" t="n"/>
    </row>
    <row r="15" ht="31.5" customHeight="1" s="61">
      <c r="B15" s="107" t="n"/>
      <c r="C15" s="108" t="inlineStr">
        <is>
          <t>Content batch 15 posts (Soft Launch period)</t>
        </is>
      </c>
      <c r="D15" s="109" t="inlineStr">
        <is>
          <t>Marketing</t>
        </is>
      </c>
      <c r="E15" s="109" t="inlineStr">
        <is>
          <t>+10 วัน</t>
        </is>
      </c>
      <c r="F15" s="109" t="inlineStr">
        <is>
          <t>Not Started</t>
        </is>
      </c>
      <c r="G15" s="110" t="inlineStr">
        <is>
          <t>Reels + carousel</t>
        </is>
      </c>
    </row>
    <row r="16" ht="31.5" customHeight="1" s="61">
      <c r="B16" s="107" t="n"/>
      <c r="C16" s="108" t="inlineStr">
        <is>
          <t>Setup LINE OA + Google Business + IG/TikTok account</t>
        </is>
      </c>
      <c r="D16" s="109" t="inlineStr">
        <is>
          <t>Marketing</t>
        </is>
      </c>
      <c r="E16" s="109" t="inlineStr">
        <is>
          <t>+3 วัน</t>
        </is>
      </c>
      <c r="F16" s="109" t="inlineStr">
        <is>
          <t>Not Started</t>
        </is>
      </c>
      <c r="G16" s="110" t="n"/>
    </row>
    <row r="17" ht="31.5" customHeight="1" s="61">
      <c r="B17" s="107" t="n"/>
      <c r="C17" s="108" t="inlineStr">
        <is>
          <t>Cross-train ทีม wrap prep + sandwich press SOP</t>
        </is>
      </c>
      <c r="D17" s="109" t="inlineStr">
        <is>
          <t>Store Mgr</t>
        </is>
      </c>
      <c r="E17" s="109" t="inlineStr">
        <is>
          <t>+7 วัน</t>
        </is>
      </c>
      <c r="F17" s="109" t="inlineStr">
        <is>
          <t>Not Started</t>
        </is>
      </c>
      <c r="G17" s="110" t="n"/>
    </row>
    <row r="20" ht="17.35" customHeight="1" s="61">
      <c r="B20" s="65" t="inlineStr">
        <is>
          <t>📅 Weekly Rhythm</t>
        </is>
      </c>
    </row>
    <row r="21" ht="15" customHeight="1" s="61">
      <c r="B21" s="78" t="inlineStr">
        <is>
          <t>ทุกเช้า 08:30</t>
        </is>
      </c>
      <c r="C21" s="79" t="inlineStr">
        <is>
          <t>เปิด This Week · ตัดสินใจ 1 เรื่อง</t>
        </is>
      </c>
    </row>
    <row r="22" ht="15" customHeight="1" s="61">
      <c r="B22" s="78" t="inlineStr">
        <is>
          <t>ทุกเย็น 18:30</t>
        </is>
      </c>
      <c r="C22" s="79" t="inlineStr">
        <is>
          <t>กรอก Daily Log (3 นาที)</t>
        </is>
      </c>
    </row>
    <row r="23" ht="15" customHeight="1" s="61">
      <c r="B23" s="78" t="inlineStr">
        <is>
          <t>จันทร์ 09:00</t>
        </is>
      </c>
      <c r="C23" s="79" t="inlineStr">
        <is>
          <t>Refresh This Week · ดู Home dashboard</t>
        </is>
      </c>
    </row>
    <row r="24" ht="15" customHeight="1" s="61">
      <c r="B24" s="78" t="inlineStr">
        <is>
          <t>พุธ 10:00</t>
        </is>
      </c>
      <c r="C24" s="79" t="inlineStr">
        <is>
          <t>Recipe R&amp;D test 1-2 ตัว</t>
        </is>
      </c>
    </row>
    <row r="25" ht="15" customHeight="1" s="61">
      <c r="B25" s="78" t="inlineStr">
        <is>
          <t>ศุกร์ 14:00</t>
        </is>
      </c>
      <c r="C25" s="79" t="inlineStr">
        <is>
          <t>Content plan สัปดาห์หน้า</t>
        </is>
      </c>
    </row>
    <row r="26" ht="15" customHeight="1" s="61">
      <c r="B26" s="78" t="inlineStr">
        <is>
          <t>วันที่ 5 ของเดือน</t>
        </is>
      </c>
      <c r="C26" s="79" t="inlineStr">
        <is>
          <t>P&amp;L review + Suppliers scorecard</t>
        </is>
      </c>
    </row>
    <row r="27" ht="15" customHeight="1" s="61">
      <c r="B27" s="78" t="inlineStr">
        <is>
          <t>ทุก 90 วัน</t>
        </is>
      </c>
      <c r="C27" s="79" t="inlineStr">
        <is>
          <t>Quarterly playbook review (กับ Claude)</t>
        </is>
      </c>
    </row>
  </sheetData>
  <conditionalFormatting sqref="B6:G17">
    <cfRule type="expression" rank="0" priority="2" equalAverage="0" aboveAverage="0" dxfId="0" text="" percent="0" bottom="0">
      <formula>$F6="Not Started"</formula>
    </cfRule>
    <cfRule type="expression" rank="0" priority="3" equalAverage="0" aboveAverage="0" dxfId="1" text="" percent="0" bottom="0">
      <formula>$F6="In Progress"</formula>
    </cfRule>
    <cfRule type="expression" rank="0" priority="4" equalAverage="0" aboveAverage="0" dxfId="2" text="" percent="0" bottom="0">
      <formula>$F6="Done"</formula>
    </cfRule>
    <cfRule type="expression" rank="0" priority="5" equalAverage="0" aboveAverage="0" dxfId="3" text="" percent="0" bottom="0">
      <formula>$F6="Blocked"</formula>
    </cfRule>
  </conditionalFormatting>
  <dataValidations count="1">
    <dataValidation sqref="F6:F27" showDropDown="0" showInputMessage="0" showErrorMessage="0" allowBlank="1" type="list" errorStyle="stop" operator="between">
      <formula1>"Not Started,In Progress,Done,Blocked"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007B68EE"/>
    <outlinePr summaryBelow="1" summaryRight="1"/>
    <pageSetUpPr fitToPage="0"/>
  </sheetPr>
  <dimension ref="A2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60" min="1" max="1"/>
    <col width="22" customWidth="1" style="60" min="2" max="3"/>
    <col width="14" customWidth="1" style="60" min="4" max="6"/>
    <col width="30" customWidth="1" style="60" min="7" max="7"/>
  </cols>
  <sheetData>
    <row r="2" ht="24.45" customHeight="1" s="61">
      <c r="B2" s="105" t="inlineStr">
        <is>
          <t>👥 Team</t>
        </is>
      </c>
    </row>
    <row r="3" ht="15" customHeight="1" s="61">
      <c r="B3" s="106" t="inlineStr">
        <is>
          <t>พนักงาน + บทบาท · update เดือนละ 1</t>
        </is>
      </c>
    </row>
    <row r="5" ht="31.5" customHeight="1" s="61">
      <c r="A5" s="81" t="n"/>
      <c r="B5" s="81" t="inlineStr">
        <is>
          <t>ตำแหน่ง</t>
        </is>
      </c>
      <c r="C5" s="81" t="inlineStr">
        <is>
          <t>ชื่อ</t>
        </is>
      </c>
      <c r="D5" s="81" t="inlineStr">
        <is>
          <t>เริ่มงาน</t>
        </is>
      </c>
      <c r="E5" s="81" t="inlineStr">
        <is>
          <t>เงินเดือน ฿</t>
        </is>
      </c>
      <c r="F5" s="81" t="inlineStr">
        <is>
          <t>สถานะ</t>
        </is>
      </c>
      <c r="G5" s="81" t="inlineStr">
        <is>
          <t>หมายเหตุ</t>
        </is>
      </c>
    </row>
    <row r="6" ht="17.9" customHeight="1" s="61">
      <c r="B6" s="111" t="inlineStr">
        <is>
          <t>👨‍💼</t>
        </is>
      </c>
      <c r="C6" s="112" t="inlineStr">
        <is>
          <t>CEO / Founder</t>
        </is>
      </c>
      <c r="D6" s="103" t="inlineStr">
        <is>
          <t>Natthanan (Nut)</t>
        </is>
      </c>
      <c r="E6" s="103" t="inlineStr">
        <is>
          <t>—</t>
        </is>
      </c>
      <c r="F6" s="103" t="inlineStr">
        <is>
          <t>—</t>
        </is>
      </c>
      <c r="G6" s="103" t="inlineStr">
        <is>
          <t>Active</t>
        </is>
      </c>
      <c r="H6" s="104" t="inlineStr">
        <is>
          <t>Vision + decisions</t>
        </is>
      </c>
    </row>
    <row r="7" ht="17.9" customHeight="1" s="61">
      <c r="B7" s="111" t="inlineStr">
        <is>
          <t>👨‍💼</t>
        </is>
      </c>
      <c r="C7" s="112" t="inlineStr">
        <is>
          <t>Business Dev</t>
        </is>
      </c>
      <c r="D7" s="103" t="inlineStr">
        <is>
          <t>Amornchai (Yu)</t>
        </is>
      </c>
      <c r="E7" s="103" t="inlineStr">
        <is>
          <t>—</t>
        </is>
      </c>
      <c r="F7" s="103" t="inlineStr">
        <is>
          <t>—</t>
        </is>
      </c>
      <c r="G7" s="103" t="inlineStr">
        <is>
          <t>Active</t>
        </is>
      </c>
      <c r="H7" s="104" t="inlineStr">
        <is>
          <t>Supplier + B2B</t>
        </is>
      </c>
    </row>
    <row r="8" ht="17.9" customHeight="1" s="61">
      <c r="B8" s="111" t="inlineStr">
        <is>
          <t>👤</t>
        </is>
      </c>
      <c r="C8" s="112" t="inlineStr">
        <is>
          <t>Store Manager</t>
        </is>
      </c>
      <c r="D8" s="103" t="inlineStr">
        <is>
          <t>[ชื่อ]</t>
        </is>
      </c>
      <c r="E8" s="103" t="inlineStr">
        <is>
          <t>1 พ.ค. 2026</t>
        </is>
      </c>
      <c r="F8" s="113" t="n">
        <v>25000</v>
      </c>
      <c r="G8" s="103" t="inlineStr">
        <is>
          <t>Hired</t>
        </is>
      </c>
      <c r="H8" s="104" t="inlineStr">
        <is>
          <t>✓ ปิดดีลแล้ว</t>
        </is>
      </c>
    </row>
    <row r="9" ht="17.9" customHeight="1" s="61">
      <c r="B9" s="111" t="inlineStr">
        <is>
          <t>👤</t>
        </is>
      </c>
      <c r="C9" s="112" t="inlineStr">
        <is>
          <t>Juicer / Barista #1</t>
        </is>
      </c>
      <c r="D9" s="103" t="n"/>
      <c r="E9" s="103" t="inlineStr">
        <is>
          <t>+5 วัน</t>
        </is>
      </c>
      <c r="F9" s="113" t="n">
        <v>15000</v>
      </c>
      <c r="G9" s="103" t="inlineStr">
        <is>
          <t>Open</t>
        </is>
      </c>
      <c r="H9" s="104" t="inlineStr">
        <is>
          <t>ต้อง hire + cross-train wrap</t>
        </is>
      </c>
    </row>
    <row r="10" ht="17.9" customHeight="1" s="61">
      <c r="B10" s="111" t="inlineStr">
        <is>
          <t>👤</t>
        </is>
      </c>
      <c r="C10" s="112" t="inlineStr">
        <is>
          <t>Juicer / Barista #2</t>
        </is>
      </c>
      <c r="D10" s="103" t="n"/>
      <c r="E10" s="103" t="inlineStr">
        <is>
          <t>+5 วัน</t>
        </is>
      </c>
      <c r="F10" s="113" t="n">
        <v>15000</v>
      </c>
      <c r="G10" s="103" t="inlineStr">
        <is>
          <t>Open</t>
        </is>
      </c>
      <c r="H10" s="104" t="inlineStr">
        <is>
          <t>ต้อง hire + cross-train wrap</t>
        </is>
      </c>
    </row>
    <row r="11" ht="17.9" customHeight="1" s="61">
      <c r="B11" s="111" t="inlineStr">
        <is>
          <t>👤</t>
        </is>
      </c>
      <c r="C11" s="112" t="inlineStr">
        <is>
          <t>Cashier / Front</t>
        </is>
      </c>
      <c r="D11" s="103" t="n"/>
      <c r="E11" s="103" t="inlineStr">
        <is>
          <t>+5 วัน</t>
        </is>
      </c>
      <c r="F11" s="113" t="n">
        <v>13000</v>
      </c>
      <c r="G11" s="103" t="inlineStr">
        <is>
          <t>Open</t>
        </is>
      </c>
      <c r="H11" s="104" t="inlineStr">
        <is>
          <t>เน้น communication</t>
        </is>
      </c>
    </row>
    <row r="12" ht="17.9" customHeight="1" s="61">
      <c r="B12" s="111" t="inlineStr">
        <is>
          <t>📷</t>
        </is>
      </c>
      <c r="C12" s="112" t="inlineStr">
        <is>
          <t>Content Creator (PT)</t>
        </is>
      </c>
      <c r="D12" s="103" t="n"/>
      <c r="E12" s="103" t="inlineStr">
        <is>
          <t>+7 วัน</t>
        </is>
      </c>
      <c r="F12" s="113" t="n">
        <v>10000</v>
      </c>
      <c r="G12" s="103" t="inlineStr">
        <is>
          <t>Open</t>
        </is>
      </c>
      <c r="H12" s="104" t="inlineStr">
        <is>
          <t>Freelance 2 วัน/สัปดาห์</t>
        </is>
      </c>
    </row>
    <row r="13" ht="17.9" customHeight="1" s="61">
      <c r="B13" s="111" t="inlineStr">
        <is>
          <t>👨‍🍳</t>
        </is>
      </c>
      <c r="C13" s="112" t="inlineStr">
        <is>
          <t>Kitchen Helper</t>
        </is>
      </c>
      <c r="D13" s="103" t="n"/>
      <c r="E13" s="103" t="inlineStr">
        <is>
          <t>Future</t>
        </is>
      </c>
      <c r="F13" s="113" t="n">
        <v>12000</v>
      </c>
      <c r="G13" s="103" t="inlineStr">
        <is>
          <t>Future</t>
        </is>
      </c>
      <c r="H13" s="104" t="inlineStr">
        <is>
          <t>พิจารณาอีกครั้ง D+30</t>
        </is>
      </c>
    </row>
    <row r="15" ht="15" customHeight="1" s="61">
      <c r="C15" s="82" t="inlineStr">
        <is>
          <t>Total monthly payroll (Active+Hired):</t>
        </is>
      </c>
      <c r="F15" s="114">
        <f>SUMIFS(F6:F14,G6:G14,"Active")+SUMIFS(F6:F14,G6:G14,"Hired")</f>
        <v/>
      </c>
    </row>
  </sheetData>
  <conditionalFormatting sqref="B6:H13">
    <cfRule type="expression" rank="0" priority="2" equalAverage="0" aboveAverage="0" dxfId="3" text="" percent="0" bottom="0">
      <formula>$G6="Open"</formula>
    </cfRule>
    <cfRule type="expression" rank="0" priority="3" equalAverage="0" aboveAverage="0" dxfId="1" text="" percent="0" bottom="0">
      <formula>$G6="Hired"</formula>
    </cfRule>
    <cfRule type="expression" rank="0" priority="4" equalAverage="0" aboveAverage="0" dxfId="2" text="" percent="0" bottom="0">
      <formula>$G6="Active"</formula>
    </cfRule>
    <cfRule type="expression" rank="0" priority="5" equalAverage="0" aboveAverage="0" dxfId="0" text="" percent="0" bottom="0">
      <formula>$G6="Future"</formula>
    </cfRule>
  </conditionalFormatting>
  <dataValidations count="1">
    <dataValidation sqref="G6:G20" showDropDown="0" showInputMessage="0" showErrorMessage="0" allowBlank="1" type="list" errorStyle="stop" operator="between">
      <formula1>"Open,Hired,Active,Future"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00E07B39"/>
    <outlinePr summaryBelow="1" summaryRight="1"/>
    <pageSetUpPr fitToPage="0"/>
  </sheetPr>
  <dimension ref="A2:K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60" min="1" max="1"/>
    <col width="22" customWidth="1" style="60" min="2" max="2"/>
    <col width="8" customWidth="1" style="60" min="3" max="3"/>
    <col width="22" customWidth="1" style="60" min="4" max="4"/>
    <col width="18" customWidth="1" style="60" min="5" max="5"/>
    <col width="12" customWidth="1" style="60" min="6" max="8"/>
    <col width="10" customWidth="1" style="60" min="9" max="9"/>
    <col width="24" customWidth="1" style="60" min="10" max="10"/>
  </cols>
  <sheetData>
    <row r="2" ht="24.45" customHeight="1" s="61">
      <c r="B2" s="105" t="inlineStr">
        <is>
          <t>🛒 Suppliers</t>
        </is>
      </c>
    </row>
    <row r="3" ht="15" customHeight="1" s="61">
      <c r="B3" s="106" t="inlineStr">
        <is>
          <t>ผู้ขาย + คะแนน · review รายเดือน · ตัด supplier ที่ score &lt; 80% 2 เดือนติด</t>
        </is>
      </c>
    </row>
    <row r="5" ht="31.5" customHeight="1" s="61">
      <c r="A5" s="81" t="n"/>
      <c r="B5" s="81" t="inlineStr">
        <is>
          <t>หมวด</t>
        </is>
      </c>
      <c r="C5" s="81" t="inlineStr">
        <is>
          <t>Tier</t>
        </is>
      </c>
      <c r="D5" s="81" t="inlineStr">
        <is>
          <t>Supplier</t>
        </is>
      </c>
      <c r="E5" s="81" t="inlineStr">
        <is>
          <t>เบอร์/ติดต่อ</t>
        </is>
      </c>
      <c r="F5" s="81" t="inlineStr">
        <is>
          <t>Quality 1-5</t>
        </is>
      </c>
      <c r="G5" s="81" t="inlineStr">
        <is>
          <t>Reliability 1-5</t>
        </is>
      </c>
      <c r="H5" s="81" t="inlineStr">
        <is>
          <t>Price 1-5</t>
        </is>
      </c>
      <c r="I5" s="81" t="inlineStr">
        <is>
          <t>Score</t>
        </is>
      </c>
      <c r="J5" s="81" t="inlineStr">
        <is>
          <t>หมายเหตุ</t>
        </is>
      </c>
    </row>
    <row r="6" ht="27.75" customHeight="1" s="61">
      <c r="B6" s="115" t="inlineStr">
        <is>
          <t>🥬</t>
        </is>
      </c>
      <c r="C6" s="116" t="inlineStr">
        <is>
          <t>ผัก/ผลไม้สด</t>
        </is>
      </c>
      <c r="D6" s="117" t="n">
        <v>1</v>
      </c>
      <c r="E6" s="117" t="inlineStr">
        <is>
          <t>[ตลาดอยุธยา รายใหญ่]</t>
        </is>
      </c>
      <c r="F6" s="117" t="n"/>
      <c r="G6" s="117" t="n"/>
      <c r="H6" s="117" t="n"/>
      <c r="I6" s="117" t="n"/>
      <c r="J6" s="118">
        <f>IFERROR(AVERAGE(G6:I6),0)</f>
        <v/>
      </c>
      <c r="K6" s="119" t="inlineStr">
        <is>
          <t>Apple, Carrot, Orange 3-5kg/วัน</t>
        </is>
      </c>
    </row>
    <row r="7" ht="27.75" customHeight="1" s="61">
      <c r="B7" s="111" t="inlineStr">
        <is>
          <t>🥬</t>
        </is>
      </c>
      <c r="C7" s="112" t="inlineStr">
        <is>
          <t>ผัก/ผลไม้สด</t>
        </is>
      </c>
      <c r="D7" s="103" t="n">
        <v>2</v>
      </c>
      <c r="E7" s="103" t="inlineStr">
        <is>
          <t>[Backup]</t>
        </is>
      </c>
      <c r="F7" s="103" t="n"/>
      <c r="G7" s="103" t="n"/>
      <c r="H7" s="103" t="n"/>
      <c r="I7" s="103" t="n"/>
      <c r="J7" s="120">
        <f>IFERROR(AVERAGE(G7:I7),0)</f>
        <v/>
      </c>
      <c r="K7" s="104" t="inlineStr">
        <is>
          <t>ทดสอบ batch แรก</t>
        </is>
      </c>
    </row>
    <row r="8" ht="27.75" customHeight="1" s="61">
      <c r="B8" s="115" t="inlineStr">
        <is>
          <t>🥥</t>
        </is>
      </c>
      <c r="C8" s="116" t="inlineStr">
        <is>
          <t>มะพร้าวอ่อน</t>
        </is>
      </c>
      <c r="D8" s="117" t="n">
        <v>1</v>
      </c>
      <c r="E8" s="117" t="n"/>
      <c r="F8" s="117" t="n"/>
      <c r="G8" s="117" t="n"/>
      <c r="H8" s="117" t="n"/>
      <c r="I8" s="117" t="n"/>
      <c r="J8" s="118">
        <f>IFERROR(AVERAGE(G8:I8),0)</f>
        <v/>
      </c>
      <c r="K8" s="119" t="inlineStr">
        <is>
          <t>PURE EDEN + NATURE BLISS 2-3L/วัน</t>
        </is>
      </c>
    </row>
    <row r="9" ht="27.75" customHeight="1" s="61">
      <c r="B9" s="111" t="inlineStr">
        <is>
          <t>🥥</t>
        </is>
      </c>
      <c r="C9" s="112" t="inlineStr">
        <is>
          <t>มะพร้าวอ่อน</t>
        </is>
      </c>
      <c r="D9" s="103" t="n">
        <v>2</v>
      </c>
      <c r="E9" s="103" t="n"/>
      <c r="F9" s="103" t="n"/>
      <c r="G9" s="103" t="n"/>
      <c r="H9" s="103" t="n"/>
      <c r="I9" s="103" t="n"/>
      <c r="J9" s="120">
        <f>IFERROR(AVERAGE(G9:I9),0)</f>
        <v/>
      </c>
      <c r="K9" s="104" t="n"/>
    </row>
    <row r="10" ht="27.75" customHeight="1" s="61">
      <c r="B10" s="115" t="inlineStr">
        <is>
          <t>🌿</t>
        </is>
      </c>
      <c r="C10" s="116" t="inlineStr">
        <is>
          <t>Matcha grade A</t>
        </is>
      </c>
      <c r="D10" s="117" t="n">
        <v>1</v>
      </c>
      <c r="E10" s="117" t="n"/>
      <c r="F10" s="117" t="n"/>
      <c r="G10" s="117" t="n"/>
      <c r="H10" s="117" t="n"/>
      <c r="I10" s="117" t="n"/>
      <c r="J10" s="118">
        <f>IFERROR(AVERAGE(G10:I10),0)</f>
        <v/>
      </c>
      <c r="K10" s="119" t="inlineStr">
        <is>
          <t>THINK SHARP 200g/wk</t>
        </is>
      </c>
    </row>
    <row r="11" ht="27.75" customHeight="1" s="61">
      <c r="B11" s="111" t="inlineStr">
        <is>
          <t>🥛</t>
        </is>
      </c>
      <c r="C11" s="112" t="inlineStr">
        <is>
          <t>นมพืช (oat/almond)</t>
        </is>
      </c>
      <c r="D11" s="103" t="n">
        <v>1</v>
      </c>
      <c r="E11" s="103" t="n"/>
      <c r="F11" s="103" t="n"/>
      <c r="G11" s="103" t="n"/>
      <c r="H11" s="103" t="n"/>
      <c r="I11" s="103" t="n"/>
      <c r="J11" s="120">
        <f>IFERROR(AVERAGE(G11:I11),0)</f>
        <v/>
      </c>
      <c r="K11" s="104" t="inlineStr">
        <is>
          <t>3-4 ลิตร/วัน</t>
        </is>
      </c>
    </row>
    <row r="12" ht="27.75" customHeight="1" s="61">
      <c r="B12" s="115" t="inlineStr">
        <is>
          <t>💪</t>
        </is>
      </c>
      <c r="C12" s="116" t="inlineStr">
        <is>
          <t>Whey Protein</t>
        </is>
      </c>
      <c r="D12" s="117" t="n">
        <v>1</v>
      </c>
      <c r="E12" s="117" t="n"/>
      <c r="F12" s="117" t="n"/>
      <c r="G12" s="117" t="n"/>
      <c r="H12" s="117" t="n"/>
      <c r="I12" s="117" t="n"/>
      <c r="J12" s="118">
        <f>IFERROR(AVERAGE(G12:I12),0)</f>
        <v/>
      </c>
      <c r="K12" s="119" t="inlineStr">
        <is>
          <t>Add-on stock</t>
        </is>
      </c>
    </row>
    <row r="13" ht="27.75" customHeight="1" s="61">
      <c r="B13" s="111" t="inlineStr">
        <is>
          <t>✨</t>
        </is>
      </c>
      <c r="C13" s="112" t="inlineStr">
        <is>
          <t>Collagen powder</t>
        </is>
      </c>
      <c r="D13" s="103" t="n">
        <v>1</v>
      </c>
      <c r="E13" s="103" t="n"/>
      <c r="F13" s="103" t="n"/>
      <c r="G13" s="103" t="n"/>
      <c r="H13" s="103" t="n"/>
      <c r="I13" s="103" t="n"/>
      <c r="J13" s="120">
        <f>IFERROR(AVERAGE(G13:I13),0)</f>
        <v/>
      </c>
      <c r="K13" s="104" t="inlineStr">
        <is>
          <t>Add-on</t>
        </is>
      </c>
    </row>
    <row r="14" ht="27.75" customHeight="1" s="61">
      <c r="B14" s="115" t="inlineStr">
        <is>
          <t>🥃</t>
        </is>
      </c>
      <c r="C14" s="116" t="inlineStr">
        <is>
          <t>Cup, lid, straw</t>
        </is>
      </c>
      <c r="D14" s="117" t="n">
        <v>1</v>
      </c>
      <c r="E14" s="117" t="n"/>
      <c r="F14" s="117" t="n"/>
      <c r="G14" s="117" t="n"/>
      <c r="H14" s="117" t="n"/>
      <c r="I14" s="117" t="n"/>
      <c r="J14" s="118">
        <f>IFERROR(AVERAGE(G14:I14),0)</f>
        <v/>
      </c>
      <c r="K14" s="119" t="inlineStr">
        <is>
          <t>Logo print</t>
        </is>
      </c>
    </row>
    <row r="15" ht="27.75" customHeight="1" s="61">
      <c r="B15" s="111" t="inlineStr">
        <is>
          <t>📦</t>
        </is>
      </c>
      <c r="C15" s="112" t="inlineStr">
        <is>
          <t>Sticker + Paper bag</t>
        </is>
      </c>
      <c r="D15" s="103" t="n">
        <v>1</v>
      </c>
      <c r="E15" s="103" t="n"/>
      <c r="F15" s="103" t="n"/>
      <c r="G15" s="103" t="n"/>
      <c r="H15" s="103" t="n"/>
      <c r="I15" s="103" t="n"/>
      <c r="J15" s="120">
        <f>IFERROR(AVERAGE(G15:I15),0)</f>
        <v/>
      </c>
      <c r="K15" s="104" t="inlineStr">
        <is>
          <t>Logo print</t>
        </is>
      </c>
    </row>
    <row r="16" ht="27.75" customHeight="1" s="61">
      <c r="B16" s="115" t="inlineStr">
        <is>
          <t>🌯</t>
        </is>
      </c>
      <c r="C16" s="116" t="inlineStr">
        <is>
          <t>Whole Wheat Tortilla 8"</t>
        </is>
      </c>
      <c r="D16" s="117" t="n">
        <v>1</v>
      </c>
      <c r="E16" s="117" t="inlineStr">
        <is>
          <t>[Bangkok import]</t>
        </is>
      </c>
      <c r="F16" s="117" t="n"/>
      <c r="G16" s="117" t="n"/>
      <c r="H16" s="117" t="n"/>
      <c r="I16" s="117" t="n"/>
      <c r="J16" s="118">
        <f>IFERROR(AVERAGE(G16:I16),0)</f>
        <v/>
      </c>
      <c r="K16" s="119" t="inlineStr">
        <is>
          <t>30 ใบ/วัน Phase 1 → 60+ Phase 2 ✓ LOCKED</t>
        </is>
      </c>
    </row>
    <row r="17" ht="27.75" customHeight="1" s="61">
      <c r="B17" s="111" t="inlineStr">
        <is>
          <t>🍗</t>
        </is>
      </c>
      <c r="C17" s="112" t="inlineStr">
        <is>
          <t>Grilled Chicken Breast</t>
        </is>
      </c>
      <c r="D17" s="103" t="n">
        <v>1</v>
      </c>
      <c r="E17" s="103" t="n"/>
      <c r="F17" s="103" t="n"/>
      <c r="G17" s="103" t="n"/>
      <c r="H17" s="103" t="n"/>
      <c r="I17" s="103" t="n"/>
      <c r="J17" s="120">
        <f>IFERROR(AVERAGE(G17:I17),0)</f>
        <v/>
      </c>
      <c r="K17" s="104" t="inlineStr">
        <is>
          <t>1-2 kg/วัน · ไก่บ้านหรือทั่วไป</t>
        </is>
      </c>
    </row>
    <row r="18" ht="27.75" customHeight="1" s="61">
      <c r="B18" s="115" t="inlineStr">
        <is>
          <t>🐟</t>
        </is>
      </c>
      <c r="C18" s="116" t="inlineStr">
        <is>
          <t>Tuna น้ำเปล่า (canned)</t>
        </is>
      </c>
      <c r="D18" s="117" t="n">
        <v>1</v>
      </c>
      <c r="E18" s="117" t="n"/>
      <c r="F18" s="117" t="n"/>
      <c r="G18" s="117" t="n"/>
      <c r="H18" s="117" t="n"/>
      <c r="I18" s="117" t="n"/>
      <c r="J18" s="118">
        <f>IFERROR(AVERAGE(G18:I18),0)</f>
        <v/>
      </c>
      <c r="K18" s="119" t="inlineStr">
        <is>
          <t>5-8 cans/wk</t>
        </is>
      </c>
    </row>
    <row r="19" ht="27.75" customHeight="1" s="61">
      <c r="B19" s="111" t="inlineStr">
        <is>
          <t>🧂</t>
        </is>
      </c>
      <c r="C19" s="112" t="inlineStr">
        <is>
          <t>Sea Salt + Pink Salt</t>
        </is>
      </c>
      <c r="D19" s="103" t="n">
        <v>1</v>
      </c>
      <c r="E19" s="103" t="n"/>
      <c r="F19" s="103" t="n"/>
      <c r="G19" s="103" t="n"/>
      <c r="H19" s="103" t="n"/>
      <c r="I19" s="103" t="n"/>
      <c r="J19" s="120">
        <f>IFERROR(AVERAGE(G19:I19),0)</f>
        <v/>
      </c>
      <c r="K19" s="104" t="inlineStr">
        <is>
          <t>1 kg/เดือน</t>
        </is>
      </c>
    </row>
    <row r="20" ht="27.75" customHeight="1" s="61">
      <c r="B20" s="115" t="inlineStr">
        <is>
          <t>🫒</t>
        </is>
      </c>
      <c r="C20" s="116" t="inlineStr">
        <is>
          <t>Olive Oil (signature)</t>
        </is>
      </c>
      <c r="D20" s="117" t="n">
        <v>1</v>
      </c>
      <c r="E20" s="117" t="n"/>
      <c r="F20" s="117" t="n"/>
      <c r="G20" s="117" t="n"/>
      <c r="H20" s="117" t="n"/>
      <c r="I20" s="117" t="n"/>
      <c r="J20" s="118">
        <f>IFERROR(AVERAGE(G20:I20),0)</f>
        <v/>
      </c>
      <c r="K20" s="119" t="inlineStr">
        <is>
          <t>1 ขวด/2 wk · Better DNA</t>
        </is>
      </c>
    </row>
  </sheetData>
  <conditionalFormatting sqref="J6:J20">
    <cfRule type="colorScale" priority="2">
      <colorScale>
        <cfvo type="min" val="0"/>
        <cfvo type="num" val="3"/>
        <cfvo type="max" val="0"/>
        <color rgb="FFFCE2E2"/>
        <color rgb="FFFFF3C4"/>
        <color rgb="FFC7EFCF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2026-05-20T23:45:27Z</dcterms:created>
  <dcterms:modified xmlns:dcterms="http://purl.org/dc/terms/" xmlns:xsi="http://www.w3.org/2001/XMLSchema-instance" xsi:type="dcterms:W3CDTF">2026-05-26T04:47:56Z</dcterms:modified>
  <cp:revision>0</cp:revision>
</cp:coreProperties>
</file>